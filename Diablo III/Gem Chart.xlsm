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vbaProjectSignature.bin" ContentType="application/vnd.ms-office.vbaProjectSignature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45" windowWidth="12825" windowHeight="6720" tabRatio="769" activeTab="5"/>
  </bookViews>
  <sheets>
    <sheet name="Amethyst" sheetId="1" r:id="rId1"/>
    <sheet name="Emerald" sheetId="5" r:id="rId2"/>
    <sheet name="Topaz" sheetId="6" r:id="rId3"/>
    <sheet name="Ruby" sheetId="7" r:id="rId4"/>
    <sheet name="Gem Transactions" sheetId="4" r:id="rId5"/>
    <sheet name="Ability Calculator" sheetId="8" r:id="rId6"/>
  </sheets>
  <calcPr calcId="125725"/>
</workbook>
</file>

<file path=xl/calcChain.xml><?xml version="1.0" encoding="utf-8"?>
<calcChain xmlns="http://schemas.openxmlformats.org/spreadsheetml/2006/main">
  <c r="D65" i="5"/>
  <c r="D66"/>
  <c r="D67"/>
  <c r="D68"/>
  <c r="D69"/>
  <c r="D64"/>
  <c r="C65"/>
  <c r="C66"/>
  <c r="C67" s="1"/>
  <c r="C68" s="1"/>
  <c r="C69" s="1"/>
  <c r="B64"/>
  <c r="C64" s="1"/>
  <c r="D65" i="6"/>
  <c r="E65"/>
  <c r="D66"/>
  <c r="E66"/>
  <c r="D67"/>
  <c r="E67"/>
  <c r="D68"/>
  <c r="E68"/>
  <c r="D69"/>
  <c r="E69"/>
  <c r="D70"/>
  <c r="E70"/>
  <c r="E64"/>
  <c r="D64"/>
  <c r="B64"/>
  <c r="E31" i="4"/>
  <c r="C30"/>
  <c r="C29"/>
  <c r="E28"/>
  <c r="D28"/>
  <c r="E32"/>
  <c r="E27"/>
  <c r="B27"/>
  <c r="E26"/>
  <c r="B26"/>
  <c r="E25"/>
  <c r="B25"/>
  <c r="B24"/>
  <c r="E24" s="1"/>
  <c r="B65" i="6"/>
  <c r="B66" s="1"/>
  <c r="B67" s="1"/>
  <c r="B68" s="1"/>
  <c r="B69" s="1"/>
  <c r="B70" s="1"/>
  <c r="F76" i="1"/>
  <c r="G76"/>
  <c r="E76"/>
  <c r="AC55"/>
  <c r="AB54"/>
  <c r="AB55"/>
  <c r="AA53"/>
  <c r="AA54"/>
  <c r="AA55" s="1"/>
  <c r="Z52"/>
  <c r="Z53"/>
  <c r="Z54" s="1"/>
  <c r="Z55" s="1"/>
  <c r="AD55"/>
  <c r="AC54"/>
  <c r="AB53"/>
  <c r="AA52"/>
  <c r="Z51"/>
  <c r="R50"/>
  <c r="S50"/>
  <c r="T50"/>
  <c r="U50"/>
  <c r="V50"/>
  <c r="W50"/>
  <c r="X50"/>
  <c r="X51" s="1"/>
  <c r="X52" s="1"/>
  <c r="X53" s="1"/>
  <c r="X54" s="1"/>
  <c r="X55" s="1"/>
  <c r="Y50"/>
  <c r="Y51" s="1"/>
  <c r="Y52" s="1"/>
  <c r="Y53" s="1"/>
  <c r="Y54" s="1"/>
  <c r="Y55" s="1"/>
  <c r="W51"/>
  <c r="W52"/>
  <c r="W53" s="1"/>
  <c r="W54" s="1"/>
  <c r="W55" s="1"/>
  <c r="S51"/>
  <c r="T51"/>
  <c r="U51"/>
  <c r="V51"/>
  <c r="S52"/>
  <c r="T52"/>
  <c r="T53" s="1"/>
  <c r="T54" s="1"/>
  <c r="T55" s="1"/>
  <c r="U52"/>
  <c r="V52"/>
  <c r="S53"/>
  <c r="U53"/>
  <c r="U54" s="1"/>
  <c r="U55" s="1"/>
  <c r="V53"/>
  <c r="S54"/>
  <c r="V54"/>
  <c r="V55" s="1"/>
  <c r="S55"/>
  <c r="R51"/>
  <c r="R52" s="1"/>
  <c r="R53" s="1"/>
  <c r="R54" s="1"/>
  <c r="R55" s="1"/>
  <c r="R13"/>
  <c r="R14"/>
  <c r="R15" s="1"/>
  <c r="R16" s="1"/>
  <c r="R17" s="1"/>
  <c r="R18" s="1"/>
  <c r="R19" s="1"/>
  <c r="R20" s="1"/>
  <c r="R21" s="1"/>
  <c r="E20" i="4"/>
  <c r="E19"/>
  <c r="E18"/>
  <c r="C62" i="1"/>
  <c r="C63"/>
  <c r="C64"/>
  <c r="C61"/>
  <c r="C60"/>
  <c r="X33"/>
  <c r="X34"/>
  <c r="X35" s="1"/>
  <c r="X36" s="1"/>
  <c r="X37" s="1"/>
  <c r="X38" s="1"/>
  <c r="S32"/>
  <c r="S33" s="1"/>
  <c r="S34" s="1"/>
  <c r="S35" s="1"/>
  <c r="S36" s="1"/>
  <c r="S37" s="1"/>
  <c r="S38" s="1"/>
  <c r="T32"/>
  <c r="U32"/>
  <c r="U33" s="1"/>
  <c r="U34" s="1"/>
  <c r="U35" s="1"/>
  <c r="U36" s="1"/>
  <c r="U37" s="1"/>
  <c r="U38" s="1"/>
  <c r="V32"/>
  <c r="V33" s="1"/>
  <c r="V34" s="1"/>
  <c r="V35" s="1"/>
  <c r="V36" s="1"/>
  <c r="V37" s="1"/>
  <c r="V38" s="1"/>
  <c r="W32"/>
  <c r="W33" s="1"/>
  <c r="W34" s="1"/>
  <c r="W35" s="1"/>
  <c r="W36" s="1"/>
  <c r="W37" s="1"/>
  <c r="W38" s="1"/>
  <c r="T33"/>
  <c r="T34" s="1"/>
  <c r="T35" s="1"/>
  <c r="T36" s="1"/>
  <c r="T37" s="1"/>
  <c r="T38" s="1"/>
  <c r="R33"/>
  <c r="R34"/>
  <c r="R35" s="1"/>
  <c r="R36" s="1"/>
  <c r="R37" s="1"/>
  <c r="R38" s="1"/>
  <c r="R32"/>
  <c r="V14"/>
  <c r="V15" s="1"/>
  <c r="V16" s="1"/>
  <c r="V17" s="1"/>
  <c r="V18" s="1"/>
  <c r="V19" s="1"/>
  <c r="V20" s="1"/>
  <c r="V21" s="1"/>
  <c r="U13"/>
  <c r="U14" s="1"/>
  <c r="U15" s="1"/>
  <c r="U16" s="1"/>
  <c r="U17" s="1"/>
  <c r="U18" s="1"/>
  <c r="U19" s="1"/>
  <c r="U20" s="1"/>
  <c r="U21" s="1"/>
  <c r="S13"/>
  <c r="T13"/>
  <c r="S14"/>
  <c r="S15" s="1"/>
  <c r="S16" s="1"/>
  <c r="S17" s="1"/>
  <c r="S18" s="1"/>
  <c r="S19" s="1"/>
  <c r="S20" s="1"/>
  <c r="S21" s="1"/>
  <c r="T14"/>
  <c r="T15" s="1"/>
  <c r="T16" s="1"/>
  <c r="T17" s="1"/>
  <c r="T18" s="1"/>
  <c r="T19" s="1"/>
  <c r="T20" s="1"/>
  <c r="T21" s="1"/>
  <c r="C17" i="4"/>
  <c r="C16"/>
  <c r="C15"/>
  <c r="E14"/>
  <c r="D14"/>
  <c r="B13"/>
  <c r="E13" s="1"/>
  <c r="D76" i="1"/>
  <c r="L37"/>
  <c r="K36"/>
  <c r="K37"/>
  <c r="J35"/>
  <c r="J36"/>
  <c r="J37" s="1"/>
  <c r="J38" s="1"/>
  <c r="E38"/>
  <c r="F38"/>
  <c r="G38"/>
  <c r="H38"/>
  <c r="I38"/>
  <c r="K38"/>
  <c r="L38"/>
  <c r="M38"/>
  <c r="D38"/>
  <c r="C38"/>
  <c r="B38"/>
  <c r="I34"/>
  <c r="I35"/>
  <c r="I36" s="1"/>
  <c r="I37" s="1"/>
  <c r="H34"/>
  <c r="H35"/>
  <c r="H36" s="1"/>
  <c r="H37" s="1"/>
  <c r="H33"/>
  <c r="G33"/>
  <c r="G34"/>
  <c r="G35" s="1"/>
  <c r="G36" s="1"/>
  <c r="G37" s="1"/>
  <c r="G32"/>
  <c r="F32"/>
  <c r="F33"/>
  <c r="F34" s="1"/>
  <c r="F35" s="1"/>
  <c r="F36" s="1"/>
  <c r="F37" s="1"/>
  <c r="F31"/>
  <c r="E31"/>
  <c r="E32"/>
  <c r="E33" s="1"/>
  <c r="E34" s="1"/>
  <c r="E35" s="1"/>
  <c r="E36" s="1"/>
  <c r="E37" s="1"/>
  <c r="E30"/>
  <c r="D30"/>
  <c r="D31"/>
  <c r="D32" s="1"/>
  <c r="D33" s="1"/>
  <c r="D34" s="1"/>
  <c r="D35" s="1"/>
  <c r="D36" s="1"/>
  <c r="D37" s="1"/>
  <c r="D29"/>
  <c r="C29"/>
  <c r="C30"/>
  <c r="C31" s="1"/>
  <c r="C32" s="1"/>
  <c r="C33" s="1"/>
  <c r="C34" s="1"/>
  <c r="C35" s="1"/>
  <c r="C36" s="1"/>
  <c r="C37" s="1"/>
  <c r="C28"/>
  <c r="N38"/>
  <c r="M37"/>
  <c r="L36"/>
  <c r="K35"/>
  <c r="J34"/>
  <c r="I33"/>
  <c r="H32"/>
  <c r="G31"/>
  <c r="F30"/>
  <c r="E29"/>
  <c r="D28"/>
  <c r="B26"/>
  <c r="C27"/>
  <c r="B30"/>
  <c r="B31"/>
  <c r="B32" s="1"/>
  <c r="B33" s="1"/>
  <c r="B34" s="1"/>
  <c r="B35" s="1"/>
  <c r="B36" s="1"/>
  <c r="B37" s="1"/>
  <c r="B29"/>
  <c r="B28"/>
  <c r="B27"/>
  <c r="B12" i="4"/>
  <c r="D11"/>
  <c r="D10"/>
  <c r="B9"/>
  <c r="B8"/>
  <c r="D7"/>
  <c r="B6"/>
  <c r="B5"/>
  <c r="D4"/>
  <c r="E4"/>
  <c r="E3"/>
  <c r="D3"/>
  <c r="H17" i="5"/>
  <c r="H18" s="1"/>
  <c r="H19" s="1"/>
  <c r="H20" s="1"/>
  <c r="H21" s="1"/>
  <c r="H16"/>
  <c r="H15"/>
  <c r="H14"/>
  <c r="D7" i="8"/>
  <c r="C12"/>
  <c r="D12"/>
  <c r="E12"/>
  <c r="F12"/>
  <c r="G12"/>
  <c r="H12"/>
  <c r="H7" s="1"/>
  <c r="B12"/>
  <c r="P21"/>
  <c r="Q20"/>
  <c r="Q19"/>
  <c r="Q18"/>
  <c r="Q17"/>
  <c r="Q16"/>
  <c r="O11"/>
  <c r="Q15"/>
  <c r="Q14"/>
  <c r="Q13"/>
  <c r="Q12"/>
  <c r="C3"/>
  <c r="B58" s="1"/>
  <c r="C56" s="1"/>
  <c r="C68"/>
  <c r="A66" s="1"/>
  <c r="C61"/>
  <c r="C51"/>
  <c r="C48" s="1"/>
  <c r="M11" s="1"/>
  <c r="C53"/>
  <c r="B66"/>
  <c r="C43"/>
  <c r="L11" s="1"/>
  <c r="A58"/>
  <c r="J50" i="1"/>
  <c r="D66" i="7"/>
  <c r="C65"/>
  <c r="C66" s="1"/>
  <c r="C67" s="1"/>
  <c r="B65"/>
  <c r="B66" s="1"/>
  <c r="I32" i="5"/>
  <c r="O38" i="7"/>
  <c r="N37"/>
  <c r="M36"/>
  <c r="L35"/>
  <c r="K34"/>
  <c r="J33"/>
  <c r="I32"/>
  <c r="H31"/>
  <c r="G30"/>
  <c r="F29"/>
  <c r="E28"/>
  <c r="D28"/>
  <c r="C28"/>
  <c r="D27"/>
  <c r="C27"/>
  <c r="B27"/>
  <c r="B28" s="1"/>
  <c r="C26"/>
  <c r="B26"/>
  <c r="B25"/>
  <c r="O38" i="6"/>
  <c r="N37"/>
  <c r="M36"/>
  <c r="L35"/>
  <c r="K34"/>
  <c r="J33"/>
  <c r="I32"/>
  <c r="H31"/>
  <c r="G30"/>
  <c r="F29"/>
  <c r="E28"/>
  <c r="D28"/>
  <c r="D27"/>
  <c r="C27"/>
  <c r="C28" s="1"/>
  <c r="C26"/>
  <c r="B26"/>
  <c r="B25"/>
  <c r="O38" i="5"/>
  <c r="N37"/>
  <c r="M36"/>
  <c r="L35"/>
  <c r="K34"/>
  <c r="J33"/>
  <c r="H31"/>
  <c r="G30"/>
  <c r="F29"/>
  <c r="E28"/>
  <c r="D28"/>
  <c r="D27"/>
  <c r="C27"/>
  <c r="C28" s="1"/>
  <c r="C26"/>
  <c r="B26"/>
  <c r="B27" s="1"/>
  <c r="B28" s="1"/>
  <c r="B25"/>
  <c r="O55" i="1"/>
  <c r="N54"/>
  <c r="M53"/>
  <c r="L52"/>
  <c r="K51"/>
  <c r="I49"/>
  <c r="H48"/>
  <c r="G47"/>
  <c r="F46"/>
  <c r="E45"/>
  <c r="D44"/>
  <c r="C43"/>
  <c r="B42"/>
  <c r="C43" i="7"/>
  <c r="F43" s="1"/>
  <c r="F21"/>
  <c r="N38" s="1"/>
  <c r="C21"/>
  <c r="B55" s="1"/>
  <c r="F20"/>
  <c r="M37" s="1"/>
  <c r="C20"/>
  <c r="B54" s="1"/>
  <c r="F19"/>
  <c r="L36" s="1"/>
  <c r="C19"/>
  <c r="B53" s="1"/>
  <c r="F18"/>
  <c r="K35" s="1"/>
  <c r="C18"/>
  <c r="B52" s="1"/>
  <c r="F17"/>
  <c r="J34" s="1"/>
  <c r="C17"/>
  <c r="B51" s="1"/>
  <c r="F16"/>
  <c r="I33" s="1"/>
  <c r="C16"/>
  <c r="B50" s="1"/>
  <c r="F15"/>
  <c r="H32" s="1"/>
  <c r="C15"/>
  <c r="B49" s="1"/>
  <c r="F14"/>
  <c r="G31" s="1"/>
  <c r="C14"/>
  <c r="B48" s="1"/>
  <c r="F13"/>
  <c r="F30" s="1"/>
  <c r="C13"/>
  <c r="B47" s="1"/>
  <c r="F12"/>
  <c r="E29" s="1"/>
  <c r="C12"/>
  <c r="B46" s="1"/>
  <c r="C11"/>
  <c r="B45" s="1"/>
  <c r="C10"/>
  <c r="B44" s="1"/>
  <c r="C9"/>
  <c r="B43" s="1"/>
  <c r="C8"/>
  <c r="B42" s="1"/>
  <c r="F21" i="6"/>
  <c r="N38" s="1"/>
  <c r="C21"/>
  <c r="B55" s="1"/>
  <c r="F20"/>
  <c r="M37" s="1"/>
  <c r="C20"/>
  <c r="B54" s="1"/>
  <c r="F19"/>
  <c r="L36" s="1"/>
  <c r="C19"/>
  <c r="B53" s="1"/>
  <c r="F18"/>
  <c r="K35" s="1"/>
  <c r="C18"/>
  <c r="B52" s="1"/>
  <c r="F17"/>
  <c r="J34" s="1"/>
  <c r="C17"/>
  <c r="B51" s="1"/>
  <c r="F16"/>
  <c r="I33" s="1"/>
  <c r="C16"/>
  <c r="B50" s="1"/>
  <c r="F15"/>
  <c r="H32" s="1"/>
  <c r="C15"/>
  <c r="B49" s="1"/>
  <c r="F14"/>
  <c r="G31" s="1"/>
  <c r="C14"/>
  <c r="B48" s="1"/>
  <c r="F13"/>
  <c r="F30" s="1"/>
  <c r="C13"/>
  <c r="B47" s="1"/>
  <c r="F12"/>
  <c r="E29" s="1"/>
  <c r="C12"/>
  <c r="B46" s="1"/>
  <c r="C11"/>
  <c r="B45" s="1"/>
  <c r="C10"/>
  <c r="B44" s="1"/>
  <c r="C9"/>
  <c r="B43" s="1"/>
  <c r="C8"/>
  <c r="B42" s="1"/>
  <c r="E64" i="5" l="1"/>
  <c r="B65"/>
  <c r="C65" i="6"/>
  <c r="C43"/>
  <c r="F43" s="1"/>
  <c r="E5" i="4"/>
  <c r="E6" s="1"/>
  <c r="E7" s="1"/>
  <c r="E8" s="1"/>
  <c r="E9" s="1"/>
  <c r="E10" s="1"/>
  <c r="E11" s="1"/>
  <c r="E12" s="1"/>
  <c r="B7" i="8"/>
  <c r="I34" i="6"/>
  <c r="I35" s="1"/>
  <c r="I36" s="1"/>
  <c r="I37" s="1"/>
  <c r="I38" s="1"/>
  <c r="F7" i="8"/>
  <c r="A7" s="1"/>
  <c r="P11"/>
  <c r="N11"/>
  <c r="Q21"/>
  <c r="C64"/>
  <c r="E30" i="6"/>
  <c r="E31" s="1"/>
  <c r="E32" s="1"/>
  <c r="E33" s="1"/>
  <c r="E34" s="1"/>
  <c r="E35" s="1"/>
  <c r="E36" s="1"/>
  <c r="E37" s="1"/>
  <c r="E38" s="1"/>
  <c r="C42" i="8"/>
  <c r="J35" i="7"/>
  <c r="J36" s="1"/>
  <c r="J37" s="1"/>
  <c r="J38" s="1"/>
  <c r="H33"/>
  <c r="H34" s="1"/>
  <c r="H35" s="1"/>
  <c r="H36" s="1"/>
  <c r="H37" s="1"/>
  <c r="H38" s="1"/>
  <c r="L37"/>
  <c r="L38" s="1"/>
  <c r="M38" i="6"/>
  <c r="I34" i="7"/>
  <c r="I35" s="1"/>
  <c r="I36" s="1"/>
  <c r="I37" s="1"/>
  <c r="I38" s="1"/>
  <c r="K36"/>
  <c r="K37" s="1"/>
  <c r="K38" s="1"/>
  <c r="M38"/>
  <c r="K36" i="6"/>
  <c r="K37" s="1"/>
  <c r="K38" s="1"/>
  <c r="G32"/>
  <c r="G33" s="1"/>
  <c r="G34" s="1"/>
  <c r="G35" s="1"/>
  <c r="G36" s="1"/>
  <c r="G37" s="1"/>
  <c r="G38" s="1"/>
  <c r="J35"/>
  <c r="J36" s="1"/>
  <c r="J37" s="1"/>
  <c r="J38" s="1"/>
  <c r="H33"/>
  <c r="H34" s="1"/>
  <c r="H35" s="1"/>
  <c r="H36" s="1"/>
  <c r="H37" s="1"/>
  <c r="H38" s="1"/>
  <c r="L37"/>
  <c r="L38" s="1"/>
  <c r="F31"/>
  <c r="F32" s="1"/>
  <c r="F33" s="1"/>
  <c r="F34" s="1"/>
  <c r="F35" s="1"/>
  <c r="F36" s="1"/>
  <c r="F37" s="1"/>
  <c r="F38" s="1"/>
  <c r="E30" i="7"/>
  <c r="E31" s="1"/>
  <c r="E32" s="1"/>
  <c r="E33" s="1"/>
  <c r="E34" s="1"/>
  <c r="E35" s="1"/>
  <c r="E36" s="1"/>
  <c r="E37" s="1"/>
  <c r="E38" s="1"/>
  <c r="C29" i="6"/>
  <c r="C30" s="1"/>
  <c r="C31" s="1"/>
  <c r="C32" s="1"/>
  <c r="C33" s="1"/>
  <c r="C34" s="1"/>
  <c r="C35" s="1"/>
  <c r="C36" s="1"/>
  <c r="C37" s="1"/>
  <c r="C38" s="1"/>
  <c r="D29"/>
  <c r="D30" s="1"/>
  <c r="D31" s="1"/>
  <c r="D32" s="1"/>
  <c r="D33" s="1"/>
  <c r="D34" s="1"/>
  <c r="D35" s="1"/>
  <c r="D36" s="1"/>
  <c r="D37" s="1"/>
  <c r="D38" s="1"/>
  <c r="G32" i="7"/>
  <c r="G33" s="1"/>
  <c r="G34" s="1"/>
  <c r="G35" s="1"/>
  <c r="G36" s="1"/>
  <c r="G37" s="1"/>
  <c r="G38" s="1"/>
  <c r="B29"/>
  <c r="B30" s="1"/>
  <c r="B31" s="1"/>
  <c r="B32" s="1"/>
  <c r="B33" s="1"/>
  <c r="B34" s="1"/>
  <c r="B35" s="1"/>
  <c r="B36" s="1"/>
  <c r="B37" s="1"/>
  <c r="B38" s="1"/>
  <c r="D29"/>
  <c r="D30" s="1"/>
  <c r="D31" s="1"/>
  <c r="D32" s="1"/>
  <c r="D33" s="1"/>
  <c r="D34" s="1"/>
  <c r="D35" s="1"/>
  <c r="D36" s="1"/>
  <c r="D37" s="1"/>
  <c r="D38" s="1"/>
  <c r="C29"/>
  <c r="C30" s="1"/>
  <c r="C31" s="1"/>
  <c r="C32" s="1"/>
  <c r="C33" s="1"/>
  <c r="C34" s="1"/>
  <c r="C35" s="1"/>
  <c r="C36" s="1"/>
  <c r="C37" s="1"/>
  <c r="C38" s="1"/>
  <c r="F31"/>
  <c r="F32" s="1"/>
  <c r="F33" s="1"/>
  <c r="F34" s="1"/>
  <c r="F35" s="1"/>
  <c r="F36" s="1"/>
  <c r="F37" s="1"/>
  <c r="F38" s="1"/>
  <c r="D67"/>
  <c r="D65"/>
  <c r="E65" s="1"/>
  <c r="D64"/>
  <c r="E64" s="1"/>
  <c r="B27" i="6"/>
  <c r="B28" s="1"/>
  <c r="B29" s="1"/>
  <c r="B30" s="1"/>
  <c r="B31" s="1"/>
  <c r="B32" s="1"/>
  <c r="B33" s="1"/>
  <c r="B34" s="1"/>
  <c r="B35" s="1"/>
  <c r="B36" s="1"/>
  <c r="B37" s="1"/>
  <c r="B38" s="1"/>
  <c r="B67" i="7"/>
  <c r="E66"/>
  <c r="D43"/>
  <c r="E43" s="1"/>
  <c r="C44"/>
  <c r="F44" s="1"/>
  <c r="D43" i="6"/>
  <c r="E43" s="1"/>
  <c r="C43" i="5"/>
  <c r="F43" s="1"/>
  <c r="F21"/>
  <c r="N38" s="1"/>
  <c r="C21"/>
  <c r="B55" s="1"/>
  <c r="F20"/>
  <c r="M37" s="1"/>
  <c r="C20"/>
  <c r="B54" s="1"/>
  <c r="F19"/>
  <c r="L36" s="1"/>
  <c r="C19"/>
  <c r="B53" s="1"/>
  <c r="F18"/>
  <c r="K35" s="1"/>
  <c r="C18"/>
  <c r="F17"/>
  <c r="J34" s="1"/>
  <c r="C17"/>
  <c r="F16"/>
  <c r="I33" s="1"/>
  <c r="C16"/>
  <c r="F15"/>
  <c r="H32" s="1"/>
  <c r="C15"/>
  <c r="F14"/>
  <c r="G31" s="1"/>
  <c r="C14"/>
  <c r="F13"/>
  <c r="F30" s="1"/>
  <c r="C13"/>
  <c r="B47" s="1"/>
  <c r="F12"/>
  <c r="E29" s="1"/>
  <c r="C12"/>
  <c r="B46" s="1"/>
  <c r="C11"/>
  <c r="B45" s="1"/>
  <c r="C10"/>
  <c r="B44" s="1"/>
  <c r="C9"/>
  <c r="B43" s="1"/>
  <c r="C8"/>
  <c r="B42" s="1"/>
  <c r="G21" i="1"/>
  <c r="N55" s="1"/>
  <c r="C21"/>
  <c r="B72" s="1"/>
  <c r="G20"/>
  <c r="M54" s="1"/>
  <c r="C20"/>
  <c r="B71" s="1"/>
  <c r="C8"/>
  <c r="B59" s="1"/>
  <c r="C9"/>
  <c r="B60" s="1"/>
  <c r="C10"/>
  <c r="B61" s="1"/>
  <c r="C11"/>
  <c r="B62" s="1"/>
  <c r="C12"/>
  <c r="B63" s="1"/>
  <c r="G12"/>
  <c r="E46" s="1"/>
  <c r="C13"/>
  <c r="B64" s="1"/>
  <c r="G13"/>
  <c r="F47" s="1"/>
  <c r="C14"/>
  <c r="B65" s="1"/>
  <c r="G14"/>
  <c r="G48" s="1"/>
  <c r="C15"/>
  <c r="B66" s="1"/>
  <c r="G15"/>
  <c r="H49" s="1"/>
  <c r="C16"/>
  <c r="B67" s="1"/>
  <c r="G16"/>
  <c r="I50" s="1"/>
  <c r="C17"/>
  <c r="B68" s="1"/>
  <c r="G17"/>
  <c r="C18"/>
  <c r="B69" s="1"/>
  <c r="G18"/>
  <c r="K52" s="1"/>
  <c r="C19"/>
  <c r="B70" s="1"/>
  <c r="G19"/>
  <c r="L53" s="1"/>
  <c r="B43"/>
  <c r="B44" s="1"/>
  <c r="B45" s="1"/>
  <c r="D45"/>
  <c r="C44"/>
  <c r="C45" s="1"/>
  <c r="B48" i="5" l="1"/>
  <c r="D63"/>
  <c r="E63" s="1"/>
  <c r="B66"/>
  <c r="C66" i="6"/>
  <c r="R12" i="8"/>
  <c r="R16"/>
  <c r="R19"/>
  <c r="R15"/>
  <c r="R18"/>
  <c r="R13"/>
  <c r="R17"/>
  <c r="R14"/>
  <c r="R20"/>
  <c r="R21"/>
  <c r="C60"/>
  <c r="E65" s="1"/>
  <c r="E66"/>
  <c r="G32" i="5"/>
  <c r="G33" s="1"/>
  <c r="G34" s="1"/>
  <c r="G35" s="1"/>
  <c r="G36" s="1"/>
  <c r="G37" s="1"/>
  <c r="G38" s="1"/>
  <c r="D29"/>
  <c r="D30" s="1"/>
  <c r="D31" s="1"/>
  <c r="D32" s="1"/>
  <c r="D33" s="1"/>
  <c r="D34" s="1"/>
  <c r="D35" s="1"/>
  <c r="D36" s="1"/>
  <c r="D37" s="1"/>
  <c r="D38" s="1"/>
  <c r="C29"/>
  <c r="C30" s="1"/>
  <c r="C31" s="1"/>
  <c r="C32" s="1"/>
  <c r="C33" s="1"/>
  <c r="C34" s="1"/>
  <c r="C35" s="1"/>
  <c r="C36" s="1"/>
  <c r="C37" s="1"/>
  <c r="C38" s="1"/>
  <c r="H33"/>
  <c r="H34" s="1"/>
  <c r="H35" s="1"/>
  <c r="H36" s="1"/>
  <c r="H37" s="1"/>
  <c r="H38" s="1"/>
  <c r="J35"/>
  <c r="J36" s="1"/>
  <c r="J37" s="1"/>
  <c r="J38" s="1"/>
  <c r="L37"/>
  <c r="L38" s="1"/>
  <c r="B29"/>
  <c r="B30" s="1"/>
  <c r="B31" s="1"/>
  <c r="B32" s="1"/>
  <c r="B33" s="1"/>
  <c r="B34" s="1"/>
  <c r="B35" s="1"/>
  <c r="B36" s="1"/>
  <c r="B37" s="1"/>
  <c r="B38" s="1"/>
  <c r="E67" i="7"/>
  <c r="I34" i="5"/>
  <c r="I35" s="1"/>
  <c r="I36" s="1"/>
  <c r="I37" s="1"/>
  <c r="I38" s="1"/>
  <c r="K36"/>
  <c r="K37" s="1"/>
  <c r="K38" s="1"/>
  <c r="M38"/>
  <c r="E30"/>
  <c r="E31" s="1"/>
  <c r="E32" s="1"/>
  <c r="E33" s="1"/>
  <c r="E34" s="1"/>
  <c r="E35" s="1"/>
  <c r="E36" s="1"/>
  <c r="E37" s="1"/>
  <c r="E38" s="1"/>
  <c r="F31"/>
  <c r="F32" s="1"/>
  <c r="F33" s="1"/>
  <c r="F34" s="1"/>
  <c r="F35" s="1"/>
  <c r="F36" s="1"/>
  <c r="F37" s="1"/>
  <c r="F38" s="1"/>
  <c r="B49"/>
  <c r="B50"/>
  <c r="B51"/>
  <c r="B52"/>
  <c r="G43" i="6"/>
  <c r="G43" i="7"/>
  <c r="D44"/>
  <c r="E44" s="1"/>
  <c r="C45"/>
  <c r="C44" i="6"/>
  <c r="C45" i="5"/>
  <c r="D43"/>
  <c r="E43" s="1"/>
  <c r="L54" i="1"/>
  <c r="L55" s="1"/>
  <c r="K53"/>
  <c r="K54" s="1"/>
  <c r="K55" s="1"/>
  <c r="M55"/>
  <c r="J51"/>
  <c r="J52" s="1"/>
  <c r="J53" s="1"/>
  <c r="J54" s="1"/>
  <c r="J55" s="1"/>
  <c r="I51"/>
  <c r="I52" s="1"/>
  <c r="I53" s="1"/>
  <c r="I54" s="1"/>
  <c r="I55" s="1"/>
  <c r="B46"/>
  <c r="G49"/>
  <c r="G50" s="1"/>
  <c r="G51" s="1"/>
  <c r="G52" s="1"/>
  <c r="G53" s="1"/>
  <c r="G54" s="1"/>
  <c r="G55" s="1"/>
  <c r="F48"/>
  <c r="F49" s="1"/>
  <c r="F50" s="1"/>
  <c r="F51" s="1"/>
  <c r="F52" s="1"/>
  <c r="F53" s="1"/>
  <c r="F54" s="1"/>
  <c r="F55" s="1"/>
  <c r="E47"/>
  <c r="E48" s="1"/>
  <c r="E49" s="1"/>
  <c r="E50" s="1"/>
  <c r="E51" s="1"/>
  <c r="E52" s="1"/>
  <c r="E53" s="1"/>
  <c r="E54" s="1"/>
  <c r="E55" s="1"/>
  <c r="H50"/>
  <c r="D46"/>
  <c r="D47" s="1"/>
  <c r="D48" s="1"/>
  <c r="D49" s="1"/>
  <c r="D50" s="1"/>
  <c r="D51" s="1"/>
  <c r="D52" s="1"/>
  <c r="D53" s="1"/>
  <c r="D54" s="1"/>
  <c r="D55" s="1"/>
  <c r="C46"/>
  <c r="C47" s="1"/>
  <c r="C48" s="1"/>
  <c r="C49" s="1"/>
  <c r="C50" s="1"/>
  <c r="C51" s="1"/>
  <c r="E65" i="5" l="1"/>
  <c r="B67"/>
  <c r="C67" i="6"/>
  <c r="C68" s="1"/>
  <c r="D62" i="1"/>
  <c r="E62" s="1"/>
  <c r="D44" i="6"/>
  <c r="E44" s="1"/>
  <c r="F44"/>
  <c r="G43" i="5"/>
  <c r="D45"/>
  <c r="E45" s="1"/>
  <c r="F45"/>
  <c r="D61" i="1"/>
  <c r="E61" s="1"/>
  <c r="F61"/>
  <c r="D60"/>
  <c r="E60" s="1"/>
  <c r="F60"/>
  <c r="G44" i="7"/>
  <c r="C46"/>
  <c r="F45"/>
  <c r="D45"/>
  <c r="C45" i="6"/>
  <c r="C44" i="5"/>
  <c r="H51" i="1"/>
  <c r="H52" s="1"/>
  <c r="H53" s="1"/>
  <c r="H54" s="1"/>
  <c r="H55" s="1"/>
  <c r="B47"/>
  <c r="C52"/>
  <c r="C53" s="1"/>
  <c r="C54" s="1"/>
  <c r="C55" s="1"/>
  <c r="E66" i="5" l="1"/>
  <c r="B68"/>
  <c r="C69" i="6"/>
  <c r="F62" i="1"/>
  <c r="G62" s="1"/>
  <c r="G60"/>
  <c r="G61"/>
  <c r="G44" i="6"/>
  <c r="D63" i="1"/>
  <c r="F63"/>
  <c r="D45" i="6"/>
  <c r="E45" s="1"/>
  <c r="F45"/>
  <c r="D44" i="5"/>
  <c r="E44" s="1"/>
  <c r="F44"/>
  <c r="G45"/>
  <c r="F46" i="7"/>
  <c r="D46"/>
  <c r="E45"/>
  <c r="G45"/>
  <c r="C47"/>
  <c r="C46" i="6"/>
  <c r="C46" i="5"/>
  <c r="C47"/>
  <c r="B48" i="1"/>
  <c r="C65" s="1"/>
  <c r="E67" i="5" l="1"/>
  <c r="B69"/>
  <c r="C70" i="6"/>
  <c r="D46"/>
  <c r="E46" s="1"/>
  <c r="F46"/>
  <c r="G44" i="5"/>
  <c r="D46"/>
  <c r="E46" s="1"/>
  <c r="F46"/>
  <c r="D47"/>
  <c r="E47" s="1"/>
  <c r="F47"/>
  <c r="D64" i="1"/>
  <c r="E64" s="1"/>
  <c r="F64"/>
  <c r="E63"/>
  <c r="G63"/>
  <c r="G45" i="6"/>
  <c r="C48" i="7"/>
  <c r="G46"/>
  <c r="E46"/>
  <c r="F47"/>
  <c r="D47"/>
  <c r="C47" i="6"/>
  <c r="C48" i="5"/>
  <c r="B49" i="1"/>
  <c r="C66" s="1"/>
  <c r="E68" i="5" l="1"/>
  <c r="G64" i="1"/>
  <c r="G46" i="6"/>
  <c r="G47" i="5"/>
  <c r="D47" i="6"/>
  <c r="E47" s="1"/>
  <c r="F47"/>
  <c r="G46" i="5"/>
  <c r="D65" i="1"/>
  <c r="E65" s="1"/>
  <c r="F65"/>
  <c r="D48" i="5"/>
  <c r="E48" s="1"/>
  <c r="F48"/>
  <c r="F48" i="7"/>
  <c r="D48"/>
  <c r="C49"/>
  <c r="E47"/>
  <c r="G47"/>
  <c r="C48" i="6"/>
  <c r="C49" i="5"/>
  <c r="B50" i="1"/>
  <c r="C67" s="1"/>
  <c r="E69" i="5" l="1"/>
  <c r="G65" i="1"/>
  <c r="D48" i="6"/>
  <c r="F48"/>
  <c r="G47"/>
  <c r="G48" i="5"/>
  <c r="D66" i="1"/>
  <c r="F66"/>
  <c r="D49" i="5"/>
  <c r="F49"/>
  <c r="F49" i="7"/>
  <c r="D49"/>
  <c r="G48"/>
  <c r="E48"/>
  <c r="C50"/>
  <c r="C49" i="6"/>
  <c r="C50" i="5"/>
  <c r="B51" i="1"/>
  <c r="C68" s="1"/>
  <c r="G66" l="1"/>
  <c r="G48" i="6"/>
  <c r="E48"/>
  <c r="G49" i="5"/>
  <c r="E66" i="1"/>
  <c r="D67"/>
  <c r="F67"/>
  <c r="E49" i="5"/>
  <c r="D50"/>
  <c r="E50" s="1"/>
  <c r="F50"/>
  <c r="C51" i="7"/>
  <c r="F50"/>
  <c r="D50"/>
  <c r="E49"/>
  <c r="G49"/>
  <c r="D49" i="6"/>
  <c r="F49"/>
  <c r="C50"/>
  <c r="C51" i="5"/>
  <c r="B52" i="1"/>
  <c r="C69" s="1"/>
  <c r="E67" l="1"/>
  <c r="G67"/>
  <c r="D68"/>
  <c r="E68" s="1"/>
  <c r="F68"/>
  <c r="G50" i="5"/>
  <c r="D51"/>
  <c r="E51" s="1"/>
  <c r="F51"/>
  <c r="C52" i="7"/>
  <c r="F51"/>
  <c r="D51"/>
  <c r="G50"/>
  <c r="E50"/>
  <c r="G49" i="6"/>
  <c r="E49"/>
  <c r="D50"/>
  <c r="F50"/>
  <c r="C51"/>
  <c r="C52" i="5"/>
  <c r="B53" i="1"/>
  <c r="C70" s="1"/>
  <c r="G68" l="1"/>
  <c r="D69"/>
  <c r="F69"/>
  <c r="G51" i="5"/>
  <c r="D52"/>
  <c r="E52" s="1"/>
  <c r="F52"/>
  <c r="C53" i="7"/>
  <c r="F53" s="1"/>
  <c r="F52"/>
  <c r="D52"/>
  <c r="E51"/>
  <c r="G51"/>
  <c r="G50" i="6"/>
  <c r="E50"/>
  <c r="D51"/>
  <c r="F51"/>
  <c r="C52"/>
  <c r="C53" i="5"/>
  <c r="B54" i="1"/>
  <c r="C71" s="1"/>
  <c r="D70" l="1"/>
  <c r="E70" s="1"/>
  <c r="F70"/>
  <c r="E69"/>
  <c r="G69"/>
  <c r="G52" i="5"/>
  <c r="D53"/>
  <c r="E53" s="1"/>
  <c r="F53"/>
  <c r="D53" i="7"/>
  <c r="C54"/>
  <c r="C55"/>
  <c r="G52"/>
  <c r="E52"/>
  <c r="E51" i="6"/>
  <c r="G51"/>
  <c r="D52"/>
  <c r="F52"/>
  <c r="C53"/>
  <c r="C54" i="5"/>
  <c r="C55"/>
  <c r="B55" i="1"/>
  <c r="C72" s="1"/>
  <c r="G70" l="1"/>
  <c r="D71"/>
  <c r="F71"/>
  <c r="G53" i="5"/>
  <c r="D54"/>
  <c r="E54" s="1"/>
  <c r="F54"/>
  <c r="D55"/>
  <c r="E55" s="1"/>
  <c r="F55"/>
  <c r="E53" i="7"/>
  <c r="G53"/>
  <c r="F54"/>
  <c r="D54"/>
  <c r="F55"/>
  <c r="D55"/>
  <c r="D53" i="6"/>
  <c r="F53"/>
  <c r="E52"/>
  <c r="G52"/>
  <c r="C54"/>
  <c r="C55"/>
  <c r="G55" i="5" l="1"/>
  <c r="E71" i="1"/>
  <c r="G71"/>
  <c r="D72"/>
  <c r="E72" s="1"/>
  <c r="F72"/>
  <c r="G54" i="5"/>
  <c r="E55" i="7"/>
  <c r="G55"/>
  <c r="G54"/>
  <c r="E54"/>
  <c r="D54" i="6"/>
  <c r="F54"/>
  <c r="E53"/>
  <c r="G53"/>
  <c r="D55"/>
  <c r="F55"/>
  <c r="G72" i="1" l="1"/>
  <c r="E55" i="6"/>
  <c r="G55"/>
  <c r="E54"/>
  <c r="G54"/>
</calcChain>
</file>

<file path=xl/sharedStrings.xml><?xml version="1.0" encoding="utf-8"?>
<sst xmlns="http://schemas.openxmlformats.org/spreadsheetml/2006/main" count="840" uniqueCount="239">
  <si>
    <t>Quality</t>
  </si>
  <si>
    <t>Star</t>
  </si>
  <si>
    <t>Radiant Square</t>
  </si>
  <si>
    <t>Perfect Square</t>
  </si>
  <si>
    <t>Flawless Square</t>
  </si>
  <si>
    <t>tome of secrets</t>
  </si>
  <si>
    <t>AH Prices</t>
  </si>
  <si>
    <t>Amethyst Crafting Requirements</t>
  </si>
  <si>
    <t>Amethyst Profit Analysis</t>
  </si>
  <si>
    <t>Square</t>
  </si>
  <si>
    <t>Radiant</t>
  </si>
  <si>
    <t>Perfect</t>
  </si>
  <si>
    <t>Flawless</t>
  </si>
  <si>
    <t># gems req'd</t>
  </si>
  <si>
    <t>crafting fee</t>
  </si>
  <si>
    <t>n/a</t>
  </si>
  <si>
    <t>Basic Gem Crafting Requirements</t>
  </si>
  <si>
    <t>Normal</t>
  </si>
  <si>
    <t>Chipped</t>
  </si>
  <si>
    <t>Flawed</t>
  </si>
  <si>
    <t>product (below)\
material (right)</t>
  </si>
  <si>
    <t>Amethyst Gem Cost Analysis</t>
  </si>
  <si>
    <t># gems</t>
  </si>
  <si>
    <t>page of jewelcrafting</t>
  </si>
  <si>
    <t>tome of jewelcrafting</t>
  </si>
  <si>
    <t>type of page</t>
  </si>
  <si>
    <t>tome of sec</t>
  </si>
  <si>
    <t>#pages req'd</t>
  </si>
  <si>
    <t>page cost</t>
  </si>
  <si>
    <t>1 pge of jwl</t>
  </si>
  <si>
    <t>1 tme of jwl</t>
  </si>
  <si>
    <t>3 tme of sec</t>
  </si>
  <si>
    <t>6 tme of sec</t>
  </si>
  <si>
    <t>9 tme of sec</t>
  </si>
  <si>
    <t>Amethyst</t>
  </si>
  <si>
    <t>Emerald</t>
  </si>
  <si>
    <t>Topaz</t>
  </si>
  <si>
    <t>Ruby</t>
  </si>
  <si>
    <t>Ame - 15%</t>
  </si>
  <si>
    <t>Eme - 15%</t>
  </si>
  <si>
    <t>Top - 15%</t>
  </si>
  <si>
    <t>Flawless Star</t>
  </si>
  <si>
    <t>12 tme of sec</t>
  </si>
  <si>
    <t>Artisan Crafting Pages AH</t>
  </si>
  <si>
    <t>Perfect Star</t>
  </si>
  <si>
    <t>Radiant Star</t>
  </si>
  <si>
    <t>20 tme of sec</t>
  </si>
  <si>
    <t>15 tme of sec</t>
  </si>
  <si>
    <t>AH - 15%</t>
  </si>
  <si>
    <t>Lowest Cost</t>
  </si>
  <si>
    <t>Net Profit</t>
  </si>
  <si>
    <t>Margin</t>
  </si>
  <si>
    <t>type of gem</t>
  </si>
  <si>
    <t>flawless sq</t>
  </si>
  <si>
    <t># pages</t>
  </si>
  <si>
    <t>Emerald Gem Cost Analysis</t>
  </si>
  <si>
    <t>Emerald Profit Analysis</t>
  </si>
  <si>
    <t>Emerald Crafting Requirements</t>
  </si>
  <si>
    <t>Topaz Gem Cost Analysis</t>
  </si>
  <si>
    <t>Topaz Profit Analysis</t>
  </si>
  <si>
    <t>Gold Balance</t>
  </si>
  <si>
    <t>Net Profit per item</t>
  </si>
  <si>
    <t>Lowest Cost per item</t>
  </si>
  <si>
    <t># items craftable</t>
  </si>
  <si>
    <t>Total Profit</t>
  </si>
  <si>
    <t>Ruby Gem Cost Analysis</t>
  </si>
  <si>
    <t>Ruby Profit Analysis</t>
  </si>
  <si>
    <t>Ruby Crafting Requirements</t>
  </si>
  <si>
    <t>Ruby - 15%</t>
  </si>
  <si>
    <t>Sell them on AH</t>
  </si>
  <si>
    <t>Option</t>
  </si>
  <si>
    <t># Gems</t>
  </si>
  <si>
    <t>Added Costs</t>
  </si>
  <si>
    <t>Craft Perfect Squares</t>
  </si>
  <si>
    <t>What should I do with the flawless squares I found?</t>
  </si>
  <si>
    <t>Craft Radiant Squares</t>
  </si>
  <si>
    <t>Craft Stars</t>
  </si>
  <si>
    <t>Primary Stat</t>
  </si>
  <si>
    <t>YouTube: Diablo 3 - How a Weapon's DPS is Calculated</t>
  </si>
  <si>
    <t>Item</t>
  </si>
  <si>
    <t>Lower Range</t>
  </si>
  <si>
    <t>Upper Range</t>
  </si>
  <si>
    <t>Manticore</t>
  </si>
  <si>
    <t>Level 1 Default Weapon :: 1.20</t>
  </si>
  <si>
    <t>Axe :: 1.30</t>
  </si>
  <si>
    <t>Axe - 2h :: 1.10</t>
  </si>
  <si>
    <t>Bow :: 1.40</t>
  </si>
  <si>
    <t>Ceremonial Knife :: 1.40</t>
  </si>
  <si>
    <t>Crossbow :: 1.10</t>
  </si>
  <si>
    <t>Dagger :: 1.50</t>
  </si>
  <si>
    <t>Daibo :: 1.10</t>
  </si>
  <si>
    <t>Fist Weapon :: 1.40</t>
  </si>
  <si>
    <t>Hand Crossbow :: 1.60</t>
  </si>
  <si>
    <t>Mace :: 1.20</t>
  </si>
  <si>
    <t>Mace - 2h :: 0.90</t>
  </si>
  <si>
    <t>Mighty Weapon :: 1.30</t>
  </si>
  <si>
    <t>Mighty Weapon - 2h :: 1.00</t>
  </si>
  <si>
    <t>Polearm :: 0.95</t>
  </si>
  <si>
    <t>Staff :: 1.00</t>
  </si>
  <si>
    <t>Sword :: 1.40</t>
  </si>
  <si>
    <t>Sword - 2h :: 1.10</t>
  </si>
  <si>
    <t>Wand :: 1.40</t>
  </si>
  <si>
    <t>Dead Man's Legacy</t>
  </si>
  <si>
    <t>N/A</t>
  </si>
  <si>
    <t>Attacks Per Second</t>
  </si>
  <si>
    <t>Damage Increase by Primary Stat</t>
  </si>
  <si>
    <t>Strength</t>
  </si>
  <si>
    <t>Dexterity</t>
  </si>
  <si>
    <t>Intelligence</t>
  </si>
  <si>
    <t>Vitality</t>
  </si>
  <si>
    <t>Stat #</t>
  </si>
  <si>
    <t>Crit Hit Chance</t>
  </si>
  <si>
    <t>Crit Hit Bonus</t>
  </si>
  <si>
    <t>Cruel Band</t>
  </si>
  <si>
    <t>Critical Damage Bonus</t>
  </si>
  <si>
    <t>Weapon Damage</t>
  </si>
  <si>
    <t>Damage Per Second</t>
  </si>
  <si>
    <t>Armor Reduction</t>
  </si>
  <si>
    <t>Armor</t>
  </si>
  <si>
    <t>Enemy Level</t>
  </si>
  <si>
    <t>Resistances Reduction</t>
  </si>
  <si>
    <t>Resistance (Lowest)</t>
  </si>
  <si>
    <t>Total Damage Mitigation</t>
  </si>
  <si>
    <t>http://eu.battle.net/d3/en/forum/topic/5035263846</t>
  </si>
  <si>
    <t>Amount with Items</t>
  </si>
  <si>
    <t>Amount without Items</t>
  </si>
  <si>
    <t>Perfectionist (skill)</t>
  </si>
  <si>
    <t>Bonus Armor/Resistance from Skills and Items</t>
  </si>
  <si>
    <t>Natalya's Bloody Footprints</t>
  </si>
  <si>
    <t>resist all</t>
  </si>
  <si>
    <t>Blackthorne's Jousting Mail</t>
  </si>
  <si>
    <t>Reckless Treasure</t>
  </si>
  <si>
    <t>Reckless Omen</t>
  </si>
  <si>
    <t>Vile Ward</t>
  </si>
  <si>
    <t>W*</t>
  </si>
  <si>
    <t>A*</t>
  </si>
  <si>
    <t>S</t>
  </si>
  <si>
    <t>Insidious Traps</t>
  </si>
  <si>
    <t>Fitted Snare</t>
  </si>
  <si>
    <t>CC*</t>
  </si>
  <si>
    <t>CB*</t>
  </si>
  <si>
    <t>Gruesome Grips</t>
  </si>
  <si>
    <t>Fist Eye</t>
  </si>
  <si>
    <t>DPS w/1 vals</t>
  </si>
  <si>
    <t>DPS w/ IRL vals</t>
  </si>
  <si>
    <t>Brawler's Cure</t>
  </si>
  <si>
    <t>Assault Tendrils</t>
  </si>
  <si>
    <t>Theory</t>
  </si>
  <si>
    <t>Gleaming Ring</t>
  </si>
  <si>
    <t>Weap Speed</t>
  </si>
  <si>
    <t>+10% armor/res</t>
  </si>
  <si>
    <t>Base Atk Spd</t>
  </si>
  <si>
    <t>Bonus Spd</t>
  </si>
  <si>
    <t>Weapon Speed</t>
  </si>
  <si>
    <t>Crit Damage Bonus</t>
  </si>
  <si>
    <t>Crit Chance</t>
  </si>
  <si>
    <t>Crit Dmg</t>
  </si>
  <si>
    <t>Natalya's Solace Set Bonus</t>
  </si>
  <si>
    <t>Weapon Socket 1</t>
  </si>
  <si>
    <t>Weapon Socket 2</t>
  </si>
  <si>
    <t>Pants Socket 1</t>
  </si>
  <si>
    <t>Pants Socket 2</t>
  </si>
  <si>
    <t>Awful Meridian</t>
  </si>
  <si>
    <t>Blackthorne's Notched Belt</t>
  </si>
  <si>
    <t>Lacuni Prowlers</t>
  </si>
  <si>
    <t>Natalya's Embrace</t>
  </si>
  <si>
    <t>Chest Socket 1</t>
  </si>
  <si>
    <t>Chest Socket 2</t>
  </si>
  <si>
    <t>Chest Socket 3</t>
  </si>
  <si>
    <t>Natalya's Sight</t>
  </si>
  <si>
    <t>Equipped?</t>
  </si>
  <si>
    <t>y</t>
  </si>
  <si>
    <t>n</t>
  </si>
  <si>
    <t>Damage Per Second Summary</t>
  </si>
  <si>
    <t>DPS</t>
  </si>
  <si>
    <t>Enchantress Focused Mind</t>
  </si>
  <si>
    <t>Equipment and Base Stats</t>
  </si>
  <si>
    <t>Base Crit Dmg Bonus</t>
  </si>
  <si>
    <t>Base Crit Chance</t>
  </si>
  <si>
    <t>Primary Stat Dmg Factor</t>
  </si>
  <si>
    <t>Sum</t>
  </si>
  <si>
    <t>Base Dexterity</t>
  </si>
  <si>
    <t>If player level &lt; 35, Life = Vitality × 10 + Level × 4 + 36</t>
  </si>
  <si>
    <t>If player level ≥ 35, Life = Vitality × (Level − 25) + Level × 4 + 36</t>
  </si>
  <si>
    <t>Level</t>
  </si>
  <si>
    <t>Paragon Level</t>
  </si>
  <si>
    <t>initial balance</t>
  </si>
  <si>
    <t>Transaction</t>
  </si>
  <si>
    <t>$ Amount</t>
  </si>
  <si>
    <t># Items</t>
  </si>
  <si>
    <t>1000 flawless square amethysts</t>
  </si>
  <si>
    <t>Price per Item</t>
  </si>
  <si>
    <t>1000 tomes of secrets</t>
  </si>
  <si>
    <t>crafting costs for 93 perfect square amethysts</t>
  </si>
  <si>
    <t>Gold earned from an Act III run</t>
  </si>
  <si>
    <t>sold 93 perfect square amethysts</t>
  </si>
  <si>
    <t>crafting costs for 121 perfect square amethysts</t>
  </si>
  <si>
    <t>gold earned from wizard training</t>
  </si>
  <si>
    <t>sold ring (bond remnant)</t>
  </si>
  <si>
    <t>sold 121 perfect square amethysts</t>
  </si>
  <si>
    <t>crafting costs for 131 perfect square amethysts</t>
  </si>
  <si>
    <t>raw gem</t>
  </si>
  <si>
    <t>product gem</t>
  </si>
  <si>
    <t># product gems to craft</t>
  </si>
  <si>
    <t># raw gems required</t>
  </si>
  <si>
    <t>#tomes of secret required</t>
  </si>
  <si>
    <t>#tomes of jewel required</t>
  </si>
  <si>
    <t>#pages of jewel required</t>
  </si>
  <si>
    <t>Amethyst Tome of Secrets Requirements</t>
  </si>
  <si>
    <t>Amethyst Gem Crafting Requirements</t>
  </si>
  <si>
    <t>Amethyst Tome of Jewelcrafting Requirements</t>
  </si>
  <si>
    <t>Amethyst Page of Jewelcrafting Requirements</t>
  </si>
  <si>
    <t>sold 131 perfect square amethysts</t>
  </si>
  <si>
    <t>Number of flawless squares used</t>
  </si>
  <si>
    <t>Number of tomes of secrets used</t>
  </si>
  <si>
    <t>Number of perfect squares crafted and sold</t>
  </si>
  <si>
    <t>type of page req'd</t>
  </si>
  <si>
    <t>page of jewel</t>
  </si>
  <si>
    <t>tome of jewel</t>
  </si>
  <si>
    <t>t. of secrets</t>
  </si>
  <si>
    <t>Gem selling balance (minus other gold earned)</t>
  </si>
  <si>
    <t>Net income from selling gems</t>
  </si>
  <si>
    <t>Percentage gain from selling gems</t>
  </si>
  <si>
    <t>Notes</t>
  </si>
  <si>
    <t>other income</t>
  </si>
  <si>
    <t>Craft Flawless Stars</t>
  </si>
  <si>
    <t>Craft Perfect Stars</t>
  </si>
  <si>
    <t>Craft Radiant Stars</t>
  </si>
  <si>
    <t>Number of flawless square topazs in inventory</t>
  </si>
  <si>
    <t>Number of tomes of secrets in inventory</t>
  </si>
  <si>
    <t>crafting costs for 27 perfect squares</t>
  </si>
  <si>
    <t>crafting costs for 9 radiant squares</t>
  </si>
  <si>
    <t>crafting costs for 3 star topazs</t>
  </si>
  <si>
    <t>crafting cost for 1 flawless star topaz</t>
  </si>
  <si>
    <t>sold flawless star topaz</t>
  </si>
  <si>
    <t>Profit from selling flawless star</t>
  </si>
  <si>
    <t>Profit percentage from selling flawless star</t>
  </si>
  <si>
    <t>Number of tomes used (55 remain)</t>
  </si>
  <si>
    <t>Number of flawless squares used (8 remain)</t>
  </si>
</sst>
</file>

<file path=xl/styles.xml><?xml version="1.0" encoding="utf-8"?>
<styleSheet xmlns="http://schemas.openxmlformats.org/spreadsheetml/2006/main">
  <numFmts count="5">
    <numFmt numFmtId="6" formatCode="&quot;$&quot;#,##0_);[Red]\(&quot;$&quot;#,##0\)"/>
    <numFmt numFmtId="164" formatCode="&quot;$&quot;#,##0"/>
    <numFmt numFmtId="165" formatCode="0.0%"/>
    <numFmt numFmtId="166" formatCode="0.000%"/>
    <numFmt numFmtId="167" formatCode="0.000"/>
  </numFmts>
  <fonts count="12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theme="0"/>
      <name val="Arial"/>
      <family val="2"/>
    </font>
    <font>
      <b/>
      <sz val="11"/>
      <color theme="0"/>
      <name val="Calibri"/>
      <family val="2"/>
      <scheme val="minor"/>
    </font>
    <font>
      <sz val="10"/>
      <color theme="0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sz val="11"/>
      <color rgb="FF9C6500"/>
      <name val="Calibri"/>
      <family val="2"/>
      <scheme val="minor"/>
    </font>
    <font>
      <sz val="10"/>
      <color rgb="FF9C6500"/>
      <name val="Arial"/>
      <family val="2"/>
    </font>
    <font>
      <u/>
      <sz val="10"/>
      <color theme="10"/>
      <name val="Arial"/>
      <family val="2"/>
    </font>
    <font>
      <sz val="10"/>
      <color theme="1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FEB9C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1" tint="0.14999847407452621"/>
      </left>
      <right style="thin">
        <color theme="1" tint="0.14999847407452621"/>
      </right>
      <top style="thin">
        <color theme="1" tint="0.14999847407452621"/>
      </top>
      <bottom style="thin">
        <color theme="1" tint="0.14999847407452621"/>
      </bottom>
      <diagonal/>
    </border>
  </borders>
  <cellStyleXfs count="3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8" fillId="13" borderId="0" applyNumberFormat="0" applyBorder="0" applyAlignment="0" applyProtection="0"/>
  </cellStyleXfs>
  <cellXfs count="172">
    <xf numFmtId="0" fontId="0" fillId="0" borderId="0" xfId="0"/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vertical="center" wrapText="1"/>
    </xf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164" fontId="1" fillId="0" borderId="1" xfId="0" applyNumberFormat="1" applyFont="1" applyBorder="1" applyAlignment="1">
      <alignment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vertical="center" wrapText="1"/>
    </xf>
    <xf numFmtId="164" fontId="1" fillId="0" borderId="1" xfId="0" applyNumberFormat="1" applyFont="1" applyBorder="1" applyAlignment="1">
      <alignment horizontal="right" vertical="center" wrapText="1"/>
    </xf>
    <xf numFmtId="0" fontId="1" fillId="5" borderId="1" xfId="0" applyFont="1" applyFill="1" applyBorder="1" applyAlignment="1">
      <alignment horizontal="right" vertical="center" wrapText="1"/>
    </xf>
    <xf numFmtId="0" fontId="1" fillId="0" borderId="0" xfId="0" applyFont="1" applyFill="1" applyAlignment="1">
      <alignment vertical="center" wrapText="1"/>
    </xf>
    <xf numFmtId="0" fontId="1" fillId="2" borderId="1" xfId="0" applyFont="1" applyFill="1" applyBorder="1" applyAlignment="1">
      <alignment horizontal="right" vertical="center" wrapText="1"/>
    </xf>
    <xf numFmtId="164" fontId="1" fillId="2" borderId="1" xfId="0" applyNumberFormat="1" applyFont="1" applyFill="1" applyBorder="1" applyAlignment="1">
      <alignment vertical="center" wrapText="1"/>
    </xf>
    <xf numFmtId="0" fontId="1" fillId="0" borderId="0" xfId="0" applyFont="1" applyBorder="1" applyAlignment="1">
      <alignment vertical="center" wrapText="1"/>
    </xf>
    <xf numFmtId="0" fontId="1" fillId="5" borderId="1" xfId="0" applyFont="1" applyFill="1" applyBorder="1" applyAlignment="1">
      <alignment vertical="center"/>
    </xf>
    <xf numFmtId="164" fontId="1" fillId="0" borderId="1" xfId="0" applyNumberFormat="1" applyFont="1" applyFill="1" applyBorder="1" applyAlignment="1">
      <alignment horizontal="right" vertical="center" wrapText="1"/>
    </xf>
    <xf numFmtId="0" fontId="5" fillId="5" borderId="2" xfId="0" applyFont="1" applyFill="1" applyBorder="1" applyAlignment="1">
      <alignment vertical="center" wrapText="1"/>
    </xf>
    <xf numFmtId="0" fontId="5" fillId="5" borderId="1" xfId="0" applyFont="1" applyFill="1" applyBorder="1" applyAlignment="1">
      <alignment vertical="center" wrapText="1"/>
    </xf>
    <xf numFmtId="0" fontId="3" fillId="5" borderId="1" xfId="0" applyFont="1" applyFill="1" applyBorder="1" applyAlignment="1">
      <alignment vertical="center" wrapText="1"/>
    </xf>
    <xf numFmtId="0" fontId="1" fillId="4" borderId="1" xfId="0" applyFont="1" applyFill="1" applyBorder="1" applyAlignment="1">
      <alignment vertical="center" wrapText="1"/>
    </xf>
    <xf numFmtId="165" fontId="1" fillId="0" borderId="1" xfId="0" applyNumberFormat="1" applyFont="1" applyBorder="1" applyAlignment="1">
      <alignment horizontal="right" vertical="center" wrapText="1"/>
    </xf>
    <xf numFmtId="0" fontId="2" fillId="4" borderId="1" xfId="0" applyFont="1" applyFill="1" applyBorder="1" applyAlignment="1">
      <alignment vertical="center" wrapText="1"/>
    </xf>
    <xf numFmtId="164" fontId="0" fillId="0" borderId="0" xfId="0" applyNumberFormat="1"/>
    <xf numFmtId="1" fontId="1" fillId="0" borderId="1" xfId="0" applyNumberFormat="1" applyFont="1" applyBorder="1" applyAlignment="1">
      <alignment horizontal="right" vertical="center" wrapText="1"/>
    </xf>
    <xf numFmtId="1" fontId="1" fillId="0" borderId="1" xfId="0" applyNumberFormat="1" applyFont="1" applyBorder="1" applyAlignment="1">
      <alignment vertical="center"/>
    </xf>
    <xf numFmtId="164" fontId="1" fillId="0" borderId="1" xfId="0" applyNumberFormat="1" applyFont="1" applyBorder="1" applyAlignment="1">
      <alignment vertical="center"/>
    </xf>
    <xf numFmtId="0" fontId="2" fillId="6" borderId="1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3" fillId="8" borderId="1" xfId="0" applyFont="1" applyFill="1" applyBorder="1" applyAlignment="1">
      <alignment horizontal="center" vertical="center" wrapText="1"/>
    </xf>
    <xf numFmtId="0" fontId="5" fillId="5" borderId="7" xfId="0" applyFont="1" applyFill="1" applyBorder="1" applyAlignment="1">
      <alignment vertical="center" wrapText="1"/>
    </xf>
    <xf numFmtId="0" fontId="5" fillId="5" borderId="8" xfId="0" applyFont="1" applyFill="1" applyBorder="1" applyAlignment="1">
      <alignment vertical="center" wrapText="1"/>
    </xf>
    <xf numFmtId="0" fontId="5" fillId="5" borderId="9" xfId="0" applyFont="1" applyFill="1" applyBorder="1" applyAlignment="1">
      <alignment vertical="center" wrapText="1"/>
    </xf>
    <xf numFmtId="0" fontId="5" fillId="5" borderId="4" xfId="0" applyFont="1" applyFill="1" applyBorder="1" applyAlignment="1">
      <alignment vertical="center" wrapText="1"/>
    </xf>
    <xf numFmtId="0" fontId="5" fillId="5" borderId="0" xfId="0" applyFont="1" applyFill="1" applyBorder="1" applyAlignment="1">
      <alignment vertical="center" wrapText="1"/>
    </xf>
    <xf numFmtId="0" fontId="5" fillId="5" borderId="11" xfId="0" applyFont="1" applyFill="1" applyBorder="1" applyAlignment="1">
      <alignment vertical="center" wrapText="1"/>
    </xf>
    <xf numFmtId="0" fontId="5" fillId="5" borderId="6" xfId="0" applyFont="1" applyFill="1" applyBorder="1" applyAlignment="1">
      <alignment vertical="center" wrapText="1"/>
    </xf>
    <xf numFmtId="0" fontId="5" fillId="5" borderId="10" xfId="0" applyFont="1" applyFill="1" applyBorder="1" applyAlignment="1">
      <alignment vertical="center" wrapText="1"/>
    </xf>
    <xf numFmtId="164" fontId="1" fillId="9" borderId="1" xfId="0" applyNumberFormat="1" applyFont="1" applyFill="1" applyBorder="1" applyAlignment="1">
      <alignment horizontal="right" vertical="center" wrapText="1"/>
    </xf>
    <xf numFmtId="164" fontId="1" fillId="9" borderId="1" xfId="0" applyNumberFormat="1" applyFont="1" applyFill="1" applyBorder="1" applyAlignment="1">
      <alignment vertical="center" wrapText="1"/>
    </xf>
    <xf numFmtId="164" fontId="1" fillId="9" borderId="5" xfId="0" applyNumberFormat="1" applyFont="1" applyFill="1" applyBorder="1" applyAlignment="1">
      <alignment vertical="center" wrapText="1"/>
    </xf>
    <xf numFmtId="164" fontId="1" fillId="9" borderId="1" xfId="0" applyNumberFormat="1" applyFont="1" applyFill="1" applyBorder="1" applyAlignment="1">
      <alignment vertical="center"/>
    </xf>
    <xf numFmtId="164" fontId="1" fillId="0" borderId="1" xfId="0" applyNumberFormat="1" applyFont="1" applyBorder="1" applyAlignment="1">
      <alignment horizontal="center" vertical="center" wrapText="1"/>
    </xf>
    <xf numFmtId="164" fontId="1" fillId="0" borderId="1" xfId="0" applyNumberFormat="1" applyFont="1" applyBorder="1" applyAlignment="1" applyProtection="1">
      <alignment horizontal="right" vertical="center" wrapText="1"/>
      <protection locked="0"/>
    </xf>
    <xf numFmtId="0" fontId="1" fillId="0" borderId="1" xfId="0" applyFont="1" applyBorder="1" applyAlignment="1" applyProtection="1">
      <alignment vertical="center" wrapText="1"/>
      <protection locked="0"/>
    </xf>
    <xf numFmtId="0" fontId="1" fillId="0" borderId="1" xfId="0" applyFont="1" applyBorder="1" applyAlignment="1" applyProtection="1">
      <alignment horizontal="center" vertical="center" wrapText="1"/>
      <protection locked="0"/>
    </xf>
    <xf numFmtId="0" fontId="1" fillId="9" borderId="1" xfId="0" applyFont="1" applyFill="1" applyBorder="1" applyAlignment="1" applyProtection="1">
      <alignment vertical="center" wrapText="1"/>
      <protection locked="0"/>
    </xf>
    <xf numFmtId="1" fontId="1" fillId="9" borderId="1" xfId="0" applyNumberFormat="1" applyFont="1" applyFill="1" applyBorder="1" applyAlignment="1" applyProtection="1">
      <alignment horizontal="center" vertical="center" wrapText="1"/>
      <protection locked="0"/>
    </xf>
    <xf numFmtId="1" fontId="5" fillId="5" borderId="1" xfId="0" applyNumberFormat="1" applyFont="1" applyFill="1" applyBorder="1" applyAlignment="1">
      <alignment vertical="center" wrapText="1"/>
    </xf>
    <xf numFmtId="1" fontId="1" fillId="5" borderId="1" xfId="0" applyNumberFormat="1" applyFont="1" applyFill="1" applyBorder="1" applyAlignment="1">
      <alignment vertical="center"/>
    </xf>
    <xf numFmtId="1" fontId="5" fillId="5" borderId="7" xfId="0" applyNumberFormat="1" applyFont="1" applyFill="1" applyBorder="1" applyAlignment="1">
      <alignment vertical="center" wrapText="1"/>
    </xf>
    <xf numFmtId="1" fontId="5" fillId="5" borderId="8" xfId="0" applyNumberFormat="1" applyFont="1" applyFill="1" applyBorder="1" applyAlignment="1">
      <alignment vertical="center" wrapText="1"/>
    </xf>
    <xf numFmtId="1" fontId="5" fillId="5" borderId="9" xfId="0" applyNumberFormat="1" applyFont="1" applyFill="1" applyBorder="1" applyAlignment="1">
      <alignment vertical="center" wrapText="1"/>
    </xf>
    <xf numFmtId="1" fontId="5" fillId="5" borderId="4" xfId="0" applyNumberFormat="1" applyFont="1" applyFill="1" applyBorder="1" applyAlignment="1">
      <alignment vertical="center" wrapText="1"/>
    </xf>
    <xf numFmtId="1" fontId="5" fillId="5" borderId="0" xfId="0" applyNumberFormat="1" applyFont="1" applyFill="1" applyBorder="1" applyAlignment="1">
      <alignment vertical="center" wrapText="1"/>
    </xf>
    <xf numFmtId="1" fontId="5" fillId="5" borderId="11" xfId="0" applyNumberFormat="1" applyFont="1" applyFill="1" applyBorder="1" applyAlignment="1">
      <alignment vertical="center" wrapText="1"/>
    </xf>
    <xf numFmtId="1" fontId="5" fillId="5" borderId="6" xfId="0" applyNumberFormat="1" applyFont="1" applyFill="1" applyBorder="1" applyAlignment="1">
      <alignment vertical="center" wrapText="1"/>
    </xf>
    <xf numFmtId="1" fontId="5" fillId="5" borderId="10" xfId="0" applyNumberFormat="1" applyFont="1" applyFill="1" applyBorder="1" applyAlignment="1">
      <alignment vertical="center" wrapText="1"/>
    </xf>
    <xf numFmtId="1" fontId="5" fillId="5" borderId="2" xfId="0" applyNumberFormat="1" applyFont="1" applyFill="1" applyBorder="1" applyAlignment="1">
      <alignment vertical="center" wrapText="1"/>
    </xf>
    <xf numFmtId="1" fontId="1" fillId="5" borderId="1" xfId="0" applyNumberFormat="1" applyFont="1" applyFill="1" applyBorder="1" applyAlignment="1">
      <alignment horizontal="right" vertical="center" wrapText="1"/>
    </xf>
    <xf numFmtId="1" fontId="1" fillId="0" borderId="1" xfId="0" applyNumberFormat="1" applyFont="1" applyFill="1" applyBorder="1" applyAlignment="1">
      <alignment horizontal="right" vertical="center" wrapText="1"/>
    </xf>
    <xf numFmtId="0" fontId="1" fillId="7" borderId="1" xfId="0" applyFont="1" applyFill="1" applyBorder="1" applyAlignment="1" applyProtection="1">
      <alignment horizontal="center" vertical="center" wrapText="1"/>
    </xf>
    <xf numFmtId="0" fontId="2" fillId="2" borderId="15" xfId="0" applyFont="1" applyFill="1" applyBorder="1" applyAlignment="1">
      <alignment horizontal="center" vertical="center" wrapText="1"/>
    </xf>
    <xf numFmtId="0" fontId="3" fillId="3" borderId="15" xfId="0" applyFont="1" applyFill="1" applyBorder="1" applyAlignment="1">
      <alignment horizontal="center" vertical="center" wrapText="1"/>
    </xf>
    <xf numFmtId="0" fontId="3" fillId="5" borderId="16" xfId="0" applyFont="1" applyFill="1" applyBorder="1" applyAlignment="1">
      <alignment vertical="center" wrapText="1"/>
    </xf>
    <xf numFmtId="1" fontId="5" fillId="5" borderId="3" xfId="0" applyNumberFormat="1" applyFont="1" applyFill="1" applyBorder="1" applyAlignment="1">
      <alignment vertical="center" wrapText="1"/>
    </xf>
    <xf numFmtId="1" fontId="5" fillId="5" borderId="13" xfId="0" applyNumberFormat="1" applyFont="1" applyFill="1" applyBorder="1" applyAlignment="1">
      <alignment vertical="center" wrapText="1"/>
    </xf>
    <xf numFmtId="0" fontId="2" fillId="7" borderId="16" xfId="0" applyFont="1" applyFill="1" applyBorder="1" applyAlignment="1">
      <alignment horizontal="center"/>
    </xf>
    <xf numFmtId="6" fontId="2" fillId="7" borderId="16" xfId="0" applyNumberFormat="1" applyFont="1" applyFill="1" applyBorder="1" applyAlignment="1">
      <alignment horizontal="center"/>
    </xf>
    <xf numFmtId="1" fontId="2" fillId="7" borderId="16" xfId="0" applyNumberFormat="1" applyFont="1" applyFill="1" applyBorder="1" applyAlignment="1">
      <alignment horizontal="center"/>
    </xf>
    <xf numFmtId="164" fontId="2" fillId="7" borderId="16" xfId="0" applyNumberFormat="1" applyFont="1" applyFill="1" applyBorder="1" applyAlignment="1">
      <alignment horizontal="center"/>
    </xf>
    <xf numFmtId="0" fontId="1" fillId="0" borderId="0" xfId="0" applyFont="1"/>
    <xf numFmtId="0" fontId="1" fillId="0" borderId="16" xfId="0" applyFont="1" applyBorder="1" applyAlignment="1">
      <alignment horizontal="left"/>
    </xf>
    <xf numFmtId="1" fontId="1" fillId="0" borderId="16" xfId="0" applyNumberFormat="1" applyFont="1" applyBorder="1" applyAlignment="1">
      <alignment horizontal="right"/>
    </xf>
    <xf numFmtId="164" fontId="1" fillId="0" borderId="16" xfId="0" applyNumberFormat="1" applyFont="1" applyBorder="1"/>
    <xf numFmtId="0" fontId="1" fillId="0" borderId="16" xfId="0" applyFont="1" applyBorder="1"/>
    <xf numFmtId="0" fontId="9" fillId="13" borderId="16" xfId="2" applyFont="1" applyBorder="1"/>
    <xf numFmtId="1" fontId="9" fillId="13" borderId="16" xfId="2" applyNumberFormat="1" applyFont="1" applyBorder="1" applyAlignment="1">
      <alignment horizontal="right"/>
    </xf>
    <xf numFmtId="164" fontId="9" fillId="13" borderId="16" xfId="2" applyNumberFormat="1" applyFont="1" applyBorder="1"/>
    <xf numFmtId="6" fontId="1" fillId="0" borderId="16" xfId="0" applyNumberFormat="1" applyFont="1" applyBorder="1"/>
    <xf numFmtId="1" fontId="1" fillId="0" borderId="16" xfId="0" applyNumberFormat="1" applyFont="1" applyBorder="1"/>
    <xf numFmtId="1" fontId="9" fillId="13" borderId="16" xfId="2" applyNumberFormat="1" applyFont="1" applyBorder="1"/>
    <xf numFmtId="0" fontId="1" fillId="2" borderId="16" xfId="0" applyFont="1" applyFill="1" applyBorder="1"/>
    <xf numFmtId="1" fontId="1" fillId="2" borderId="16" xfId="0" applyNumberFormat="1" applyFont="1" applyFill="1" applyBorder="1"/>
    <xf numFmtId="164" fontId="1" fillId="2" borderId="16" xfId="0" applyNumberFormat="1" applyFont="1" applyFill="1" applyBorder="1"/>
    <xf numFmtId="0" fontId="1" fillId="0" borderId="16" xfId="0" applyFont="1" applyFill="1" applyBorder="1"/>
    <xf numFmtId="0" fontId="1" fillId="0" borderId="12" xfId="0" applyFont="1" applyFill="1" applyBorder="1"/>
    <xf numFmtId="6" fontId="1" fillId="0" borderId="0" xfId="0" applyNumberFormat="1" applyFont="1"/>
    <xf numFmtId="1" fontId="1" fillId="0" borderId="0" xfId="0" applyNumberFormat="1" applyFont="1"/>
    <xf numFmtId="164" fontId="1" fillId="0" borderId="0" xfId="0" applyNumberFormat="1" applyFont="1"/>
    <xf numFmtId="0" fontId="1" fillId="10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4" fontId="1" fillId="0" borderId="0" xfId="0" applyNumberFormat="1" applyFont="1" applyBorder="1" applyAlignment="1">
      <alignment horizontal="center" vertical="center"/>
    </xf>
    <xf numFmtId="0" fontId="1" fillId="2" borderId="1" xfId="0" applyFont="1" applyFill="1" applyBorder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4" fontId="1" fillId="2" borderId="1" xfId="0" applyNumberFormat="1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167" fontId="1" fillId="11" borderId="1" xfId="0" applyNumberFormat="1" applyFont="1" applyFill="1" applyBorder="1" applyAlignment="1">
      <alignment horizontal="right" vertical="center"/>
    </xf>
    <xf numFmtId="2" fontId="1" fillId="11" borderId="1" xfId="0" applyNumberFormat="1" applyFont="1" applyFill="1" applyBorder="1" applyAlignment="1">
      <alignment horizontal="center" vertical="center"/>
    </xf>
    <xf numFmtId="1" fontId="1" fillId="11" borderId="1" xfId="0" applyNumberFormat="1" applyFont="1" applyFill="1" applyBorder="1" applyAlignment="1">
      <alignment horizontal="center" vertical="center"/>
    </xf>
    <xf numFmtId="4" fontId="1" fillId="11" borderId="1" xfId="0" applyNumberFormat="1" applyFont="1" applyFill="1" applyBorder="1" applyAlignment="1">
      <alignment horizontal="right" vertical="center"/>
    </xf>
    <xf numFmtId="9" fontId="1" fillId="2" borderId="1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right" vertical="center"/>
    </xf>
    <xf numFmtId="167" fontId="1" fillId="0" borderId="1" xfId="0" applyNumberFormat="1" applyFont="1" applyBorder="1" applyAlignment="1">
      <alignment horizontal="right" vertical="center"/>
    </xf>
    <xf numFmtId="2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right" vertical="center"/>
    </xf>
    <xf numFmtId="9" fontId="1" fillId="0" borderId="1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right" vertical="center"/>
    </xf>
    <xf numFmtId="0" fontId="1" fillId="0" borderId="0" xfId="0" applyFont="1" applyBorder="1" applyAlignment="1">
      <alignment horizontal="left" vertical="center"/>
    </xf>
    <xf numFmtId="0" fontId="2" fillId="4" borderId="1" xfId="0" applyFont="1" applyFill="1" applyBorder="1" applyAlignment="1">
      <alignment horizontal="center" vertical="center"/>
    </xf>
    <xf numFmtId="0" fontId="10" fillId="0" borderId="0" xfId="1" applyFont="1" applyBorder="1" applyAlignment="1" applyProtection="1">
      <alignment horizontal="left" vertical="center"/>
    </xf>
    <xf numFmtId="0" fontId="11" fillId="0" borderId="0" xfId="1" applyFont="1" applyBorder="1" applyAlignment="1" applyProtection="1">
      <alignment vertical="center"/>
    </xf>
    <xf numFmtId="0" fontId="1" fillId="0" borderId="1" xfId="0" applyFont="1" applyBorder="1" applyAlignment="1">
      <alignment horizontal="left" vertical="center"/>
    </xf>
    <xf numFmtId="166" fontId="1" fillId="0" borderId="1" xfId="0" applyNumberFormat="1" applyFont="1" applyBorder="1" applyAlignment="1">
      <alignment horizontal="center" vertical="center"/>
    </xf>
    <xf numFmtId="10" fontId="1" fillId="7" borderId="1" xfId="0" applyNumberFormat="1" applyFont="1" applyFill="1" applyBorder="1" applyAlignment="1">
      <alignment horizontal="center" vertical="center"/>
    </xf>
    <xf numFmtId="10" fontId="1" fillId="0" borderId="1" xfId="0" applyNumberFormat="1" applyFont="1" applyBorder="1" applyAlignment="1">
      <alignment horizontal="center" vertical="center"/>
    </xf>
    <xf numFmtId="10" fontId="2" fillId="4" borderId="1" xfId="0" applyNumberFormat="1" applyFont="1" applyFill="1" applyBorder="1" applyAlignment="1">
      <alignment horizontal="center" vertical="center"/>
    </xf>
    <xf numFmtId="0" fontId="1" fillId="0" borderId="1" xfId="0" quotePrefix="1" applyFont="1" applyBorder="1" applyAlignment="1">
      <alignment horizontal="center" vertical="center"/>
    </xf>
    <xf numFmtId="1" fontId="1" fillId="9" borderId="1" xfId="0" applyNumberFormat="1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vertical="center" wrapText="1"/>
    </xf>
    <xf numFmtId="0" fontId="1" fillId="9" borderId="1" xfId="0" applyFont="1" applyFill="1" applyBorder="1" applyAlignment="1">
      <alignment horizontal="right" vertical="center" wrapText="1"/>
    </xf>
    <xf numFmtId="1" fontId="8" fillId="13" borderId="1" xfId="2" applyNumberFormat="1" applyBorder="1" applyAlignment="1" applyProtection="1">
      <alignment horizontal="center" vertical="center" wrapText="1"/>
      <protection locked="0"/>
    </xf>
    <xf numFmtId="0" fontId="5" fillId="5" borderId="16" xfId="0" applyFont="1" applyFill="1" applyBorder="1"/>
    <xf numFmtId="6" fontId="5" fillId="5" borderId="16" xfId="0" applyNumberFormat="1" applyFont="1" applyFill="1" applyBorder="1"/>
    <xf numFmtId="1" fontId="5" fillId="5" borderId="16" xfId="0" applyNumberFormat="1" applyFont="1" applyFill="1" applyBorder="1"/>
    <xf numFmtId="164" fontId="5" fillId="5" borderId="16" xfId="0" applyNumberFormat="1" applyFont="1" applyFill="1" applyBorder="1"/>
    <xf numFmtId="10" fontId="5" fillId="5" borderId="16" xfId="0" applyNumberFormat="1" applyFont="1" applyFill="1" applyBorder="1"/>
    <xf numFmtId="1" fontId="5" fillId="5" borderId="16" xfId="0" applyNumberFormat="1" applyFont="1" applyFill="1" applyBorder="1" applyAlignment="1">
      <alignment horizontal="right"/>
    </xf>
    <xf numFmtId="6" fontId="5" fillId="5" borderId="16" xfId="0" applyNumberFormat="1" applyFont="1" applyFill="1" applyBorder="1" applyAlignment="1">
      <alignment horizontal="right"/>
    </xf>
    <xf numFmtId="1" fontId="1" fillId="2" borderId="16" xfId="0" applyNumberFormat="1" applyFont="1" applyFill="1" applyBorder="1" applyAlignment="1">
      <alignment horizontal="right"/>
    </xf>
    <xf numFmtId="38" fontId="1" fillId="0" borderId="16" xfId="0" applyNumberFormat="1" applyFont="1" applyBorder="1" applyAlignment="1">
      <alignment horizontal="right"/>
    </xf>
    <xf numFmtId="38" fontId="1" fillId="0" borderId="16" xfId="0" applyNumberFormat="1" applyFont="1" applyBorder="1"/>
    <xf numFmtId="38" fontId="1" fillId="2" borderId="16" xfId="0" applyNumberFormat="1" applyFont="1" applyFill="1" applyBorder="1"/>
    <xf numFmtId="38" fontId="1" fillId="2" borderId="16" xfId="0" applyNumberFormat="1" applyFont="1" applyFill="1" applyBorder="1" applyAlignment="1">
      <alignment horizontal="right"/>
    </xf>
    <xf numFmtId="38" fontId="5" fillId="5" borderId="16" xfId="0" applyNumberFormat="1" applyFont="1" applyFill="1" applyBorder="1" applyAlignment="1">
      <alignment horizontal="right"/>
    </xf>
    <xf numFmtId="38" fontId="5" fillId="5" borderId="16" xfId="0" applyNumberFormat="1" applyFont="1" applyFill="1" applyBorder="1"/>
    <xf numFmtId="38" fontId="9" fillId="13" borderId="16" xfId="2" applyNumberFormat="1" applyFont="1" applyBorder="1"/>
    <xf numFmtId="38" fontId="9" fillId="13" borderId="16" xfId="2" applyNumberFormat="1" applyFont="1" applyBorder="1" applyAlignment="1">
      <alignment horizontal="right"/>
    </xf>
    <xf numFmtId="0" fontId="3" fillId="3" borderId="5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center" vertical="center" wrapText="1"/>
    </xf>
    <xf numFmtId="0" fontId="3" fillId="5" borderId="16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164" fontId="2" fillId="0" borderId="1" xfId="0" applyNumberFormat="1" applyFont="1" applyBorder="1" applyAlignment="1" applyProtection="1">
      <alignment horizontal="center" vertical="center" wrapText="1"/>
      <protection locked="0"/>
    </xf>
    <xf numFmtId="0" fontId="4" fillId="5" borderId="16" xfId="0" applyFont="1" applyFill="1" applyBorder="1" applyAlignment="1">
      <alignment horizontal="center"/>
    </xf>
    <xf numFmtId="0" fontId="6" fillId="6" borderId="1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/>
    </xf>
    <xf numFmtId="0" fontId="6" fillId="6" borderId="5" xfId="0" applyFont="1" applyFill="1" applyBorder="1" applyAlignment="1">
      <alignment horizontal="center" vertical="center" wrapText="1"/>
    </xf>
    <xf numFmtId="0" fontId="6" fillId="6" borderId="6" xfId="0" applyFont="1" applyFill="1" applyBorder="1" applyAlignment="1">
      <alignment horizontal="center" vertical="center" wrapText="1"/>
    </xf>
    <xf numFmtId="0" fontId="6" fillId="7" borderId="1" xfId="0" applyFont="1" applyFill="1" applyBorder="1" applyAlignment="1">
      <alignment horizontal="center" vertical="center" wrapText="1"/>
    </xf>
    <xf numFmtId="0" fontId="6" fillId="7" borderId="4" xfId="0" applyFont="1" applyFill="1" applyBorder="1" applyAlignment="1">
      <alignment horizontal="center" vertical="center" wrapText="1"/>
    </xf>
    <xf numFmtId="0" fontId="6" fillId="7" borderId="0" xfId="0" applyFont="1" applyFill="1" applyBorder="1" applyAlignment="1">
      <alignment horizontal="center" vertical="center" wrapText="1"/>
    </xf>
    <xf numFmtId="0" fontId="3" fillId="8" borderId="1" xfId="0" applyFont="1" applyFill="1" applyBorder="1" applyAlignment="1">
      <alignment horizontal="center" vertical="center" wrapText="1"/>
    </xf>
    <xf numFmtId="164" fontId="2" fillId="0" borderId="1" xfId="0" applyNumberFormat="1" applyFont="1" applyBorder="1" applyAlignment="1">
      <alignment horizontal="center" vertical="center" wrapText="1"/>
    </xf>
    <xf numFmtId="0" fontId="5" fillId="12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7" borderId="14" xfId="0" applyFont="1" applyFill="1" applyBorder="1" applyAlignment="1">
      <alignment horizontal="center" vertical="center"/>
    </xf>
    <xf numFmtId="0" fontId="1" fillId="7" borderId="12" xfId="0" applyFont="1" applyFill="1" applyBorder="1" applyAlignment="1">
      <alignment horizontal="center" vertical="center"/>
    </xf>
    <xf numFmtId="0" fontId="1" fillId="7" borderId="15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10" fontId="1" fillId="0" borderId="1" xfId="0" applyNumberFormat="1" applyFont="1" applyFill="1" applyBorder="1" applyAlignment="1">
      <alignment horizontal="center" vertical="center"/>
    </xf>
    <xf numFmtId="0" fontId="1" fillId="7" borderId="2" xfId="0" applyFont="1" applyFill="1" applyBorder="1" applyAlignment="1">
      <alignment horizontal="center" vertical="center"/>
    </xf>
    <xf numFmtId="0" fontId="1" fillId="7" borderId="3" xfId="0" applyFont="1" applyFill="1" applyBorder="1" applyAlignment="1">
      <alignment horizontal="center" vertical="center"/>
    </xf>
    <xf numFmtId="0" fontId="1" fillId="7" borderId="1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</cellXfs>
  <cellStyles count="3">
    <cellStyle name="Hyperlink" xfId="1" builtinId="8"/>
    <cellStyle name="Neutral" xfId="2" builtinId="28"/>
    <cellStyle name="Normal" xfId="0" builtinId="0"/>
  </cellStyles>
  <dxfs count="93"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1" tint="0.1499679555650502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330287</xdr:colOff>
      <xdr:row>74</xdr:row>
      <xdr:rowOff>5007</xdr:rowOff>
    </xdr:from>
    <xdr:to>
      <xdr:col>8</xdr:col>
      <xdr:colOff>304175</xdr:colOff>
      <xdr:row>89</xdr:row>
      <xdr:rowOff>24057</xdr:rowOff>
    </xdr:to>
    <xdr:pic>
      <xdr:nvPicPr>
        <xdr:cNvPr id="2055" name="Picture 7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664287" y="14102007"/>
          <a:ext cx="2623570" cy="2447925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1143000</xdr:colOff>
      <xdr:row>73</xdr:row>
      <xdr:rowOff>173182</xdr:rowOff>
    </xdr:from>
    <xdr:to>
      <xdr:col>5</xdr:col>
      <xdr:colOff>130192</xdr:colOff>
      <xdr:row>101</xdr:row>
      <xdr:rowOff>11257</xdr:rowOff>
    </xdr:to>
    <xdr:pic>
      <xdr:nvPicPr>
        <xdr:cNvPr id="2056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857500" y="7031182"/>
          <a:ext cx="2632363" cy="43815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0</xdr:col>
      <xdr:colOff>103910</xdr:colOff>
      <xdr:row>73</xdr:row>
      <xdr:rowOff>121228</xdr:rowOff>
    </xdr:from>
    <xdr:to>
      <xdr:col>1</xdr:col>
      <xdr:colOff>923467</xdr:colOff>
      <xdr:row>90</xdr:row>
      <xdr:rowOff>140278</xdr:rowOff>
    </xdr:to>
    <xdr:pic>
      <xdr:nvPicPr>
        <xdr:cNvPr id="2057" name="Picture 9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03910" y="6979228"/>
          <a:ext cx="2623704" cy="27717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0</xdr:col>
      <xdr:colOff>124691</xdr:colOff>
      <xdr:row>89</xdr:row>
      <xdr:rowOff>16453</xdr:rowOff>
    </xdr:from>
    <xdr:to>
      <xdr:col>1</xdr:col>
      <xdr:colOff>949444</xdr:colOff>
      <xdr:row>100</xdr:row>
      <xdr:rowOff>159328</xdr:rowOff>
    </xdr:to>
    <xdr:pic>
      <xdr:nvPicPr>
        <xdr:cNvPr id="2058" name="Picture 10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24691" y="9922453"/>
          <a:ext cx="2628900" cy="19240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0</xdr:col>
      <xdr:colOff>138546</xdr:colOff>
      <xdr:row>99</xdr:row>
      <xdr:rowOff>121228</xdr:rowOff>
    </xdr:from>
    <xdr:to>
      <xdr:col>1</xdr:col>
      <xdr:colOff>950310</xdr:colOff>
      <xdr:row>128</xdr:row>
      <xdr:rowOff>64078</xdr:rowOff>
    </xdr:to>
    <xdr:pic>
      <xdr:nvPicPr>
        <xdr:cNvPr id="2059" name="Picture 11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138546" y="11932228"/>
          <a:ext cx="2615911" cy="46386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://eu.battle.net/d3/en/forum/topic/503526384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E76"/>
  <sheetViews>
    <sheetView topLeftCell="A15" zoomScale="85" zoomScaleNormal="85" workbookViewId="0">
      <selection activeCell="C76" sqref="C76"/>
    </sheetView>
  </sheetViews>
  <sheetFormatPr defaultColWidth="11.7109375" defaultRowHeight="12.75"/>
  <cols>
    <col min="1" max="1" width="21.5703125" style="1" customWidth="1"/>
    <col min="2" max="2" width="12.28515625" style="1" customWidth="1"/>
    <col min="3" max="3" width="13.42578125" style="1" bestFit="1" customWidth="1"/>
    <col min="4" max="4" width="11.28515625" style="1" bestFit="1" customWidth="1"/>
    <col min="5" max="5" width="12.5703125" style="1" bestFit="1" customWidth="1"/>
    <col min="6" max="10" width="12.28515625" style="1" customWidth="1"/>
    <col min="11" max="11" width="13.42578125" style="1" bestFit="1" customWidth="1"/>
    <col min="12" max="12" width="12.28515625" style="1" customWidth="1"/>
    <col min="13" max="13" width="12.28515625" style="2" customWidth="1"/>
    <col min="14" max="16" width="11.7109375" style="2"/>
    <col min="17" max="17" width="18.85546875" style="2" customWidth="1"/>
    <col min="18" max="18" width="8.85546875" style="2" bestFit="1" customWidth="1"/>
    <col min="19" max="20" width="7.7109375" style="2" bestFit="1" customWidth="1"/>
    <col min="21" max="21" width="9.42578125" style="2" bestFit="1" customWidth="1"/>
    <col min="22" max="22" width="7.85546875" style="2" bestFit="1" customWidth="1"/>
    <col min="23" max="23" width="8" style="2" bestFit="1" customWidth="1"/>
    <col min="24" max="24" width="7.7109375" style="2" bestFit="1" customWidth="1"/>
    <col min="25" max="25" width="9.42578125" style="2" bestFit="1" customWidth="1"/>
    <col min="26" max="26" width="7.85546875" style="2" bestFit="1" customWidth="1"/>
    <col min="27" max="27" width="8" style="2" bestFit="1" customWidth="1"/>
    <col min="28" max="28" width="4.85546875" style="2" bestFit="1" customWidth="1"/>
    <col min="29" max="29" width="9.42578125" style="2" bestFit="1" customWidth="1"/>
    <col min="30" max="30" width="7.85546875" style="2" bestFit="1" customWidth="1"/>
    <col min="31" max="31" width="8" style="2" bestFit="1" customWidth="1"/>
    <col min="32" max="16384" width="11.7109375" style="2"/>
  </cols>
  <sheetData>
    <row r="1" spans="1:31">
      <c r="A1" s="145" t="s">
        <v>43</v>
      </c>
      <c r="B1" s="145"/>
      <c r="D1" s="147" t="s">
        <v>60</v>
      </c>
      <c r="E1" s="147"/>
    </row>
    <row r="2" spans="1:31">
      <c r="A2" s="13" t="s">
        <v>23</v>
      </c>
      <c r="B2" s="45">
        <v>1006</v>
      </c>
      <c r="D2" s="148">
        <v>8100000</v>
      </c>
      <c r="E2" s="148"/>
    </row>
    <row r="3" spans="1:31">
      <c r="A3" s="13" t="s">
        <v>24</v>
      </c>
      <c r="B3" s="45">
        <v>301</v>
      </c>
      <c r="F3" s="12"/>
    </row>
    <row r="4" spans="1:31">
      <c r="A4" s="13" t="s">
        <v>5</v>
      </c>
      <c r="B4" s="45">
        <v>1488</v>
      </c>
      <c r="F4" s="12"/>
    </row>
    <row r="5" spans="1:31">
      <c r="F5" s="12"/>
      <c r="G5" s="15"/>
      <c r="K5" s="2"/>
      <c r="L5" s="2"/>
    </row>
    <row r="6" spans="1:31" customFormat="1" ht="15">
      <c r="A6" s="65"/>
      <c r="B6" s="146" t="s">
        <v>6</v>
      </c>
      <c r="C6" s="146"/>
      <c r="D6" s="149" t="s">
        <v>16</v>
      </c>
      <c r="E6" s="149"/>
      <c r="F6" s="149"/>
      <c r="G6" s="149"/>
      <c r="H6" s="149"/>
      <c r="I6" s="1"/>
      <c r="J6" s="1"/>
      <c r="K6" s="2"/>
      <c r="L6" s="2"/>
      <c r="M6" s="2"/>
      <c r="Q6" s="144" t="s">
        <v>211</v>
      </c>
      <c r="R6" s="144"/>
      <c r="S6" s="144"/>
      <c r="T6" s="144"/>
      <c r="U6" s="144"/>
      <c r="V6" s="144"/>
      <c r="W6" s="144"/>
      <c r="X6" s="144"/>
      <c r="Y6" s="144"/>
      <c r="Z6" s="144"/>
      <c r="AA6" s="144"/>
      <c r="AB6" s="144"/>
      <c r="AC6" s="144"/>
      <c r="AD6" s="144"/>
      <c r="AE6" s="144"/>
    </row>
    <row r="7" spans="1:31" customFormat="1" ht="25.5" customHeight="1">
      <c r="A7" s="63" t="s">
        <v>0</v>
      </c>
      <c r="B7" s="64" t="s">
        <v>34</v>
      </c>
      <c r="C7" s="64" t="s">
        <v>38</v>
      </c>
      <c r="D7" s="63" t="s">
        <v>13</v>
      </c>
      <c r="E7" s="63" t="s">
        <v>27</v>
      </c>
      <c r="F7" s="63" t="s">
        <v>216</v>
      </c>
      <c r="G7" s="63" t="s">
        <v>28</v>
      </c>
      <c r="H7" s="63" t="s">
        <v>14</v>
      </c>
      <c r="Q7" s="8" t="s">
        <v>20</v>
      </c>
      <c r="R7" s="3" t="s">
        <v>18</v>
      </c>
      <c r="S7" s="3" t="s">
        <v>19</v>
      </c>
      <c r="T7" s="3" t="s">
        <v>17</v>
      </c>
      <c r="U7" s="3" t="s">
        <v>12</v>
      </c>
      <c r="V7" s="3" t="s">
        <v>11</v>
      </c>
      <c r="W7" s="3" t="s">
        <v>10</v>
      </c>
      <c r="X7" s="3" t="s">
        <v>9</v>
      </c>
      <c r="Y7" s="3" t="s">
        <v>4</v>
      </c>
      <c r="Z7" s="3" t="s">
        <v>3</v>
      </c>
      <c r="AA7" s="3" t="s">
        <v>2</v>
      </c>
      <c r="AB7" s="3" t="s">
        <v>1</v>
      </c>
      <c r="AC7" s="3" t="s">
        <v>41</v>
      </c>
      <c r="AD7" s="3" t="s">
        <v>44</v>
      </c>
      <c r="AE7" s="3" t="s">
        <v>45</v>
      </c>
    </row>
    <row r="8" spans="1:31" customFormat="1" ht="15">
      <c r="A8" s="4" t="s">
        <v>18</v>
      </c>
      <c r="B8" s="44">
        <v>385</v>
      </c>
      <c r="C8" s="14">
        <f>B8*0.85</f>
        <v>327.25</v>
      </c>
      <c r="D8" s="6" t="s">
        <v>15</v>
      </c>
      <c r="E8" s="6" t="s">
        <v>15</v>
      </c>
      <c r="F8" s="6" t="s">
        <v>15</v>
      </c>
      <c r="G8" s="10" t="s">
        <v>15</v>
      </c>
      <c r="H8" s="10" t="s">
        <v>15</v>
      </c>
      <c r="Q8" s="9" t="s">
        <v>18</v>
      </c>
      <c r="R8" s="59"/>
      <c r="S8" s="66"/>
      <c r="T8" s="66"/>
      <c r="U8" s="66"/>
      <c r="V8" s="66"/>
      <c r="W8" s="66"/>
      <c r="X8" s="66"/>
      <c r="Y8" s="66"/>
      <c r="Z8" s="66"/>
      <c r="AA8" s="66"/>
      <c r="AB8" s="66"/>
      <c r="AC8" s="66"/>
      <c r="AD8" s="66"/>
      <c r="AE8" s="67"/>
    </row>
    <row r="9" spans="1:31" customFormat="1" ht="15">
      <c r="A9" s="4" t="s">
        <v>19</v>
      </c>
      <c r="B9" s="44">
        <v>65</v>
      </c>
      <c r="C9" s="14">
        <f t="shared" ref="C9:C21" si="0">B9*0.85</f>
        <v>55.25</v>
      </c>
      <c r="D9" s="6">
        <v>2</v>
      </c>
      <c r="E9" s="6" t="s">
        <v>15</v>
      </c>
      <c r="F9" s="6" t="s">
        <v>15</v>
      </c>
      <c r="G9" s="10">
        <v>0</v>
      </c>
      <c r="H9" s="10">
        <v>10</v>
      </c>
      <c r="Q9" s="9" t="s">
        <v>19</v>
      </c>
      <c r="R9" s="25">
        <v>0</v>
      </c>
      <c r="S9" s="51"/>
      <c r="T9" s="52"/>
      <c r="U9" s="52"/>
      <c r="V9" s="52"/>
      <c r="W9" s="52"/>
      <c r="X9" s="52"/>
      <c r="Y9" s="52"/>
      <c r="Z9" s="52"/>
      <c r="AA9" s="52"/>
      <c r="AB9" s="52"/>
      <c r="AC9" s="52"/>
      <c r="AD9" s="52"/>
      <c r="AE9" s="53"/>
    </row>
    <row r="10" spans="1:31" customFormat="1" ht="15">
      <c r="A10" s="4" t="s">
        <v>17</v>
      </c>
      <c r="B10" s="44">
        <v>52</v>
      </c>
      <c r="C10" s="14">
        <f t="shared" si="0"/>
        <v>44.199999999999996</v>
      </c>
      <c r="D10" s="6">
        <v>2</v>
      </c>
      <c r="E10" s="6" t="s">
        <v>15</v>
      </c>
      <c r="F10" s="6" t="s">
        <v>15</v>
      </c>
      <c r="G10" s="10">
        <v>0</v>
      </c>
      <c r="H10" s="10">
        <v>25</v>
      </c>
      <c r="Q10" s="9" t="s">
        <v>17</v>
      </c>
      <c r="R10" s="25">
        <v>0</v>
      </c>
      <c r="S10" s="25">
        <v>0</v>
      </c>
      <c r="T10" s="49"/>
      <c r="U10" s="54"/>
      <c r="V10" s="55"/>
      <c r="W10" s="55"/>
      <c r="X10" s="55"/>
      <c r="Y10" s="55"/>
      <c r="Z10" s="55"/>
      <c r="AA10" s="55"/>
      <c r="AB10" s="55"/>
      <c r="AC10" s="55"/>
      <c r="AD10" s="56"/>
      <c r="AE10" s="50"/>
    </row>
    <row r="11" spans="1:31" customFormat="1" ht="15">
      <c r="A11" s="4" t="s">
        <v>12</v>
      </c>
      <c r="B11" s="44">
        <v>88</v>
      </c>
      <c r="C11" s="14">
        <f t="shared" si="0"/>
        <v>74.8</v>
      </c>
      <c r="D11" s="6">
        <v>2</v>
      </c>
      <c r="E11" s="6" t="s">
        <v>15</v>
      </c>
      <c r="F11" s="6" t="s">
        <v>15</v>
      </c>
      <c r="G11" s="10">
        <v>0</v>
      </c>
      <c r="H11" s="10">
        <v>40</v>
      </c>
      <c r="Q11" s="9" t="s">
        <v>12</v>
      </c>
      <c r="R11" s="25">
        <v>0</v>
      </c>
      <c r="S11" s="25">
        <v>0</v>
      </c>
      <c r="T11" s="25">
        <v>0</v>
      </c>
      <c r="U11" s="49"/>
      <c r="V11" s="57"/>
      <c r="W11" s="57"/>
      <c r="X11" s="57"/>
      <c r="Y11" s="57"/>
      <c r="Z11" s="57"/>
      <c r="AA11" s="57"/>
      <c r="AB11" s="57"/>
      <c r="AC11" s="57"/>
      <c r="AD11" s="58"/>
      <c r="AE11" s="50"/>
    </row>
    <row r="12" spans="1:31" customFormat="1" ht="15">
      <c r="A12" s="4" t="s">
        <v>11</v>
      </c>
      <c r="B12" s="44">
        <v>48</v>
      </c>
      <c r="C12" s="14">
        <f t="shared" si="0"/>
        <v>40.799999999999997</v>
      </c>
      <c r="D12" s="6">
        <v>2</v>
      </c>
      <c r="E12" s="6">
        <v>1</v>
      </c>
      <c r="F12" s="6" t="s">
        <v>217</v>
      </c>
      <c r="G12" s="10">
        <f>B2</f>
        <v>1006</v>
      </c>
      <c r="H12" s="10">
        <v>55</v>
      </c>
      <c r="Q12" s="9" t="s">
        <v>11</v>
      </c>
      <c r="R12" s="25">
        <v>1</v>
      </c>
      <c r="S12" s="25">
        <v>1</v>
      </c>
      <c r="T12" s="25">
        <v>1</v>
      </c>
      <c r="U12" s="25">
        <v>1</v>
      </c>
      <c r="V12" s="49"/>
      <c r="W12" s="49"/>
      <c r="X12" s="59"/>
      <c r="Y12" s="59"/>
      <c r="Z12" s="59"/>
      <c r="AA12" s="59"/>
      <c r="AB12" s="59"/>
      <c r="AC12" s="50"/>
      <c r="AD12" s="50"/>
      <c r="AE12" s="50"/>
    </row>
    <row r="13" spans="1:31" customFormat="1" ht="15">
      <c r="A13" s="4" t="s">
        <v>10</v>
      </c>
      <c r="B13" s="44">
        <v>71</v>
      </c>
      <c r="C13" s="14">
        <f t="shared" si="0"/>
        <v>60.35</v>
      </c>
      <c r="D13" s="6">
        <v>2</v>
      </c>
      <c r="E13" s="6">
        <v>1</v>
      </c>
      <c r="F13" s="6" t="s">
        <v>217</v>
      </c>
      <c r="G13" s="10">
        <f>B2</f>
        <v>1006</v>
      </c>
      <c r="H13" s="10">
        <v>70</v>
      </c>
      <c r="Q13" s="9" t="s">
        <v>10</v>
      </c>
      <c r="R13" s="25">
        <f t="shared" ref="R13:V21" si="1">R12*$D13+1</f>
        <v>3</v>
      </c>
      <c r="S13" s="25">
        <f t="shared" si="1"/>
        <v>3</v>
      </c>
      <c r="T13" s="25">
        <f t="shared" si="1"/>
        <v>3</v>
      </c>
      <c r="U13" s="25">
        <f t="shared" si="1"/>
        <v>3</v>
      </c>
      <c r="V13" s="25">
        <v>1</v>
      </c>
      <c r="W13" s="49"/>
      <c r="X13" s="49"/>
      <c r="Y13" s="49"/>
      <c r="Z13" s="49"/>
      <c r="AA13" s="49"/>
      <c r="AB13" s="49"/>
      <c r="AC13" s="50"/>
      <c r="AD13" s="50"/>
      <c r="AE13" s="50"/>
    </row>
    <row r="14" spans="1:31" customFormat="1" ht="15">
      <c r="A14" s="4" t="s">
        <v>9</v>
      </c>
      <c r="B14" s="44">
        <v>278</v>
      </c>
      <c r="C14" s="14">
        <f t="shared" si="0"/>
        <v>236.29999999999998</v>
      </c>
      <c r="D14" s="6">
        <v>2</v>
      </c>
      <c r="E14" s="6">
        <v>1</v>
      </c>
      <c r="F14" s="6" t="s">
        <v>218</v>
      </c>
      <c r="G14" s="10">
        <f>B3</f>
        <v>301</v>
      </c>
      <c r="H14" s="10">
        <v>85</v>
      </c>
      <c r="Q14" s="9" t="s">
        <v>9</v>
      </c>
      <c r="R14" s="25">
        <f t="shared" si="1"/>
        <v>7</v>
      </c>
      <c r="S14" s="25">
        <f t="shared" si="1"/>
        <v>7</v>
      </c>
      <c r="T14" s="25">
        <f t="shared" si="1"/>
        <v>7</v>
      </c>
      <c r="U14" s="25">
        <f t="shared" si="1"/>
        <v>7</v>
      </c>
      <c r="V14" s="25">
        <f t="shared" si="1"/>
        <v>3</v>
      </c>
      <c r="W14" s="25">
        <v>0</v>
      </c>
      <c r="X14" s="49"/>
      <c r="Y14" s="60"/>
      <c r="Z14" s="60"/>
      <c r="AA14" s="60"/>
      <c r="AB14" s="60"/>
      <c r="AC14" s="50"/>
      <c r="AD14" s="50"/>
      <c r="AE14" s="50"/>
    </row>
    <row r="15" spans="1:31" customFormat="1" ht="15">
      <c r="A15" s="4" t="s">
        <v>4</v>
      </c>
      <c r="B15" s="44">
        <v>842</v>
      </c>
      <c r="C15" s="14">
        <f t="shared" si="0"/>
        <v>715.69999999999993</v>
      </c>
      <c r="D15" s="6">
        <v>2</v>
      </c>
      <c r="E15" s="6">
        <v>1</v>
      </c>
      <c r="F15" s="6" t="s">
        <v>218</v>
      </c>
      <c r="G15" s="10">
        <f>B3</f>
        <v>301</v>
      </c>
      <c r="H15" s="10">
        <v>100</v>
      </c>
      <c r="Q15" s="9" t="s">
        <v>4</v>
      </c>
      <c r="R15" s="25">
        <f t="shared" si="1"/>
        <v>15</v>
      </c>
      <c r="S15" s="25">
        <f t="shared" si="1"/>
        <v>15</v>
      </c>
      <c r="T15" s="25">
        <f t="shared" si="1"/>
        <v>15</v>
      </c>
      <c r="U15" s="25">
        <f t="shared" si="1"/>
        <v>15</v>
      </c>
      <c r="V15" s="25">
        <f t="shared" si="1"/>
        <v>7</v>
      </c>
      <c r="W15" s="25">
        <v>0</v>
      </c>
      <c r="X15" s="25">
        <v>0</v>
      </c>
      <c r="Y15" s="49"/>
      <c r="Z15" s="60"/>
      <c r="AA15" s="60"/>
      <c r="AB15" s="60"/>
      <c r="AC15" s="50"/>
      <c r="AD15" s="50"/>
      <c r="AE15" s="50"/>
    </row>
    <row r="16" spans="1:31" customFormat="1" ht="15">
      <c r="A16" s="4" t="s">
        <v>3</v>
      </c>
      <c r="B16" s="44">
        <v>45000</v>
      </c>
      <c r="C16" s="14">
        <f t="shared" si="0"/>
        <v>38250</v>
      </c>
      <c r="D16" s="6">
        <v>3</v>
      </c>
      <c r="E16" s="6">
        <v>3</v>
      </c>
      <c r="F16" s="6" t="s">
        <v>219</v>
      </c>
      <c r="G16" s="10">
        <f>3*B4</f>
        <v>4464</v>
      </c>
      <c r="H16" s="10">
        <v>30000</v>
      </c>
      <c r="Q16" s="9" t="s">
        <v>3</v>
      </c>
      <c r="R16" s="25">
        <f t="shared" si="1"/>
        <v>46</v>
      </c>
      <c r="S16" s="25">
        <f t="shared" si="1"/>
        <v>46</v>
      </c>
      <c r="T16" s="25">
        <f t="shared" si="1"/>
        <v>46</v>
      </c>
      <c r="U16" s="25">
        <f t="shared" si="1"/>
        <v>46</v>
      </c>
      <c r="V16" s="25">
        <f t="shared" si="1"/>
        <v>22</v>
      </c>
      <c r="W16" s="25">
        <v>0</v>
      </c>
      <c r="X16" s="25">
        <v>0</v>
      </c>
      <c r="Y16" s="25">
        <v>0</v>
      </c>
      <c r="Z16" s="49"/>
      <c r="AA16" s="60"/>
      <c r="AB16" s="60"/>
      <c r="AC16" s="50"/>
      <c r="AD16" s="50"/>
      <c r="AE16" s="50"/>
    </row>
    <row r="17" spans="1:31" customFormat="1" ht="15">
      <c r="A17" s="4" t="s">
        <v>2</v>
      </c>
      <c r="B17" s="44">
        <v>197000</v>
      </c>
      <c r="C17" s="14">
        <f t="shared" si="0"/>
        <v>167450</v>
      </c>
      <c r="D17" s="6">
        <v>3</v>
      </c>
      <c r="E17" s="6">
        <v>6</v>
      </c>
      <c r="F17" s="6" t="s">
        <v>219</v>
      </c>
      <c r="G17" s="10">
        <f>6*B4</f>
        <v>8928</v>
      </c>
      <c r="H17" s="10">
        <v>50000</v>
      </c>
      <c r="Q17" s="9" t="s">
        <v>2</v>
      </c>
      <c r="R17" s="25">
        <f t="shared" si="1"/>
        <v>139</v>
      </c>
      <c r="S17" s="25">
        <f t="shared" si="1"/>
        <v>139</v>
      </c>
      <c r="T17" s="25">
        <f t="shared" si="1"/>
        <v>139</v>
      </c>
      <c r="U17" s="25">
        <f t="shared" si="1"/>
        <v>139</v>
      </c>
      <c r="V17" s="25">
        <f t="shared" si="1"/>
        <v>67</v>
      </c>
      <c r="W17" s="25">
        <v>0</v>
      </c>
      <c r="X17" s="25">
        <v>0</v>
      </c>
      <c r="Y17" s="25">
        <v>0</v>
      </c>
      <c r="Z17" s="25">
        <v>0</v>
      </c>
      <c r="AA17" s="49"/>
      <c r="AB17" s="60"/>
      <c r="AC17" s="50"/>
      <c r="AD17" s="50"/>
      <c r="AE17" s="50"/>
    </row>
    <row r="18" spans="1:31" customFormat="1" ht="15">
      <c r="A18" s="4" t="s">
        <v>1</v>
      </c>
      <c r="B18" s="44">
        <v>712000</v>
      </c>
      <c r="C18" s="14">
        <f t="shared" si="0"/>
        <v>605200</v>
      </c>
      <c r="D18" s="6">
        <v>3</v>
      </c>
      <c r="E18" s="6">
        <v>9</v>
      </c>
      <c r="F18" s="6" t="s">
        <v>219</v>
      </c>
      <c r="G18" s="10">
        <f>9*B4</f>
        <v>13392</v>
      </c>
      <c r="H18" s="10">
        <v>80000</v>
      </c>
      <c r="Q18" s="9" t="s">
        <v>1</v>
      </c>
      <c r="R18" s="25">
        <f t="shared" si="1"/>
        <v>418</v>
      </c>
      <c r="S18" s="25">
        <f t="shared" si="1"/>
        <v>418</v>
      </c>
      <c r="T18" s="25">
        <f t="shared" si="1"/>
        <v>418</v>
      </c>
      <c r="U18" s="25">
        <f t="shared" si="1"/>
        <v>418</v>
      </c>
      <c r="V18" s="25">
        <f t="shared" si="1"/>
        <v>202</v>
      </c>
      <c r="W18" s="25">
        <v>0</v>
      </c>
      <c r="X18" s="25">
        <v>0</v>
      </c>
      <c r="Y18" s="25">
        <v>0</v>
      </c>
      <c r="Z18" s="25">
        <v>0</v>
      </c>
      <c r="AA18" s="25">
        <v>0</v>
      </c>
      <c r="AB18" s="49"/>
      <c r="AC18" s="50"/>
      <c r="AD18" s="50"/>
      <c r="AE18" s="50"/>
    </row>
    <row r="19" spans="1:31" customFormat="1" ht="15">
      <c r="A19" s="4" t="s">
        <v>41</v>
      </c>
      <c r="B19" s="44">
        <v>2295000</v>
      </c>
      <c r="C19" s="14">
        <f t="shared" si="0"/>
        <v>1950750</v>
      </c>
      <c r="D19" s="6">
        <v>3</v>
      </c>
      <c r="E19" s="6">
        <v>12</v>
      </c>
      <c r="F19" s="6" t="s">
        <v>219</v>
      </c>
      <c r="G19" s="10">
        <f>12*B4</f>
        <v>17856</v>
      </c>
      <c r="H19" s="10">
        <v>100000</v>
      </c>
      <c r="Q19" s="9" t="s">
        <v>41</v>
      </c>
      <c r="R19" s="25">
        <f t="shared" si="1"/>
        <v>1255</v>
      </c>
      <c r="S19" s="25">
        <f t="shared" si="1"/>
        <v>1255</v>
      </c>
      <c r="T19" s="25">
        <f t="shared" si="1"/>
        <v>1255</v>
      </c>
      <c r="U19" s="25">
        <f t="shared" si="1"/>
        <v>1255</v>
      </c>
      <c r="V19" s="25">
        <f t="shared" si="1"/>
        <v>607</v>
      </c>
      <c r="W19" s="25">
        <v>0</v>
      </c>
      <c r="X19" s="25">
        <v>0</v>
      </c>
      <c r="Y19" s="25">
        <v>0</v>
      </c>
      <c r="Z19" s="25">
        <v>0</v>
      </c>
      <c r="AA19" s="25">
        <v>0</v>
      </c>
      <c r="AB19" s="61">
        <v>0</v>
      </c>
      <c r="AC19" s="49"/>
      <c r="AD19" s="50"/>
      <c r="AE19" s="50"/>
    </row>
    <row r="20" spans="1:31" customFormat="1" ht="15">
      <c r="A20" s="4" t="s">
        <v>44</v>
      </c>
      <c r="B20" s="44">
        <v>7100000</v>
      </c>
      <c r="C20" s="14">
        <f t="shared" si="0"/>
        <v>6035000</v>
      </c>
      <c r="D20" s="6">
        <v>3</v>
      </c>
      <c r="E20" s="6">
        <v>15</v>
      </c>
      <c r="F20" s="6" t="s">
        <v>219</v>
      </c>
      <c r="G20" s="10">
        <f>15*B4</f>
        <v>22320</v>
      </c>
      <c r="H20" s="10">
        <v>200000</v>
      </c>
      <c r="Q20" s="9" t="s">
        <v>44</v>
      </c>
      <c r="R20" s="25">
        <f t="shared" si="1"/>
        <v>3766</v>
      </c>
      <c r="S20" s="25">
        <f t="shared" si="1"/>
        <v>3766</v>
      </c>
      <c r="T20" s="25">
        <f t="shared" si="1"/>
        <v>3766</v>
      </c>
      <c r="U20" s="25">
        <f t="shared" si="1"/>
        <v>3766</v>
      </c>
      <c r="V20" s="25">
        <f t="shared" si="1"/>
        <v>1822</v>
      </c>
      <c r="W20" s="25">
        <v>0</v>
      </c>
      <c r="X20" s="25">
        <v>0</v>
      </c>
      <c r="Y20" s="25">
        <v>0</v>
      </c>
      <c r="Z20" s="25">
        <v>0</v>
      </c>
      <c r="AA20" s="25">
        <v>0</v>
      </c>
      <c r="AB20" s="25">
        <v>0</v>
      </c>
      <c r="AC20" s="25">
        <v>0</v>
      </c>
      <c r="AD20" s="49"/>
      <c r="AE20" s="50"/>
    </row>
    <row r="21" spans="1:31" customFormat="1" ht="15">
      <c r="A21" s="4" t="s">
        <v>45</v>
      </c>
      <c r="B21" s="44">
        <v>22100000</v>
      </c>
      <c r="C21" s="14">
        <f t="shared" si="0"/>
        <v>18785000</v>
      </c>
      <c r="D21" s="6">
        <v>3</v>
      </c>
      <c r="E21" s="6">
        <v>20</v>
      </c>
      <c r="F21" s="6" t="s">
        <v>219</v>
      </c>
      <c r="G21" s="10">
        <f>20*B4</f>
        <v>29760</v>
      </c>
      <c r="H21" s="10">
        <v>400000</v>
      </c>
      <c r="Q21" s="9" t="s">
        <v>45</v>
      </c>
      <c r="R21" s="25">
        <f t="shared" si="1"/>
        <v>11299</v>
      </c>
      <c r="S21" s="25">
        <f t="shared" si="1"/>
        <v>11299</v>
      </c>
      <c r="T21" s="25">
        <f t="shared" si="1"/>
        <v>11299</v>
      </c>
      <c r="U21" s="25">
        <f t="shared" si="1"/>
        <v>11299</v>
      </c>
      <c r="V21" s="25">
        <f t="shared" si="1"/>
        <v>5467</v>
      </c>
      <c r="W21" s="25">
        <v>0</v>
      </c>
      <c r="X21" s="25">
        <v>0</v>
      </c>
      <c r="Y21" s="25">
        <v>0</v>
      </c>
      <c r="Z21" s="25">
        <v>0</v>
      </c>
      <c r="AA21" s="25">
        <v>0</v>
      </c>
      <c r="AB21" s="25">
        <v>0</v>
      </c>
      <c r="AC21" s="25">
        <v>0</v>
      </c>
      <c r="AD21" s="61">
        <v>0</v>
      </c>
      <c r="AE21" s="49"/>
    </row>
    <row r="23" spans="1:31">
      <c r="A23" s="144" t="s">
        <v>209</v>
      </c>
      <c r="B23" s="144"/>
      <c r="C23" s="144"/>
      <c r="D23" s="144"/>
      <c r="E23" s="144"/>
      <c r="F23" s="144"/>
      <c r="G23" s="144"/>
      <c r="H23" s="144"/>
      <c r="I23" s="144"/>
      <c r="J23" s="144"/>
      <c r="K23" s="144"/>
      <c r="L23" s="144"/>
      <c r="M23" s="144"/>
      <c r="N23" s="144"/>
      <c r="O23" s="144"/>
      <c r="Q23" s="144" t="s">
        <v>210</v>
      </c>
      <c r="R23" s="144"/>
      <c r="S23" s="144"/>
      <c r="T23" s="144"/>
      <c r="U23" s="144"/>
      <c r="V23" s="144"/>
      <c r="W23" s="144"/>
      <c r="X23" s="144"/>
      <c r="Y23" s="144"/>
      <c r="Z23" s="144"/>
      <c r="AA23" s="144"/>
      <c r="AB23" s="144"/>
      <c r="AC23" s="144"/>
      <c r="AD23" s="144"/>
      <c r="AE23" s="144"/>
    </row>
    <row r="24" spans="1:31" ht="25.5">
      <c r="A24" s="8" t="s">
        <v>20</v>
      </c>
      <c r="B24" s="3" t="s">
        <v>18</v>
      </c>
      <c r="C24" s="3" t="s">
        <v>19</v>
      </c>
      <c r="D24" s="3" t="s">
        <v>17</v>
      </c>
      <c r="E24" s="3" t="s">
        <v>12</v>
      </c>
      <c r="F24" s="3" t="s">
        <v>11</v>
      </c>
      <c r="G24" s="3" t="s">
        <v>10</v>
      </c>
      <c r="H24" s="3" t="s">
        <v>9</v>
      </c>
      <c r="I24" s="3" t="s">
        <v>4</v>
      </c>
      <c r="J24" s="3" t="s">
        <v>3</v>
      </c>
      <c r="K24" s="3" t="s">
        <v>2</v>
      </c>
      <c r="L24" s="3" t="s">
        <v>1</v>
      </c>
      <c r="M24" s="3" t="s">
        <v>41</v>
      </c>
      <c r="N24" s="3" t="s">
        <v>44</v>
      </c>
      <c r="O24" s="3" t="s">
        <v>45</v>
      </c>
      <c r="Q24" s="8" t="s">
        <v>20</v>
      </c>
      <c r="R24" s="3" t="s">
        <v>18</v>
      </c>
      <c r="S24" s="3" t="s">
        <v>19</v>
      </c>
      <c r="T24" s="3" t="s">
        <v>17</v>
      </c>
      <c r="U24" s="3" t="s">
        <v>12</v>
      </c>
      <c r="V24" s="3" t="s">
        <v>11</v>
      </c>
      <c r="W24" s="3" t="s">
        <v>10</v>
      </c>
      <c r="X24" s="3" t="s">
        <v>9</v>
      </c>
      <c r="Y24" s="3" t="s">
        <v>4</v>
      </c>
      <c r="Z24" s="3" t="s">
        <v>3</v>
      </c>
      <c r="AA24" s="3" t="s">
        <v>2</v>
      </c>
      <c r="AB24" s="3" t="s">
        <v>1</v>
      </c>
      <c r="AC24" s="3" t="s">
        <v>41</v>
      </c>
      <c r="AD24" s="3" t="s">
        <v>44</v>
      </c>
      <c r="AE24" s="3" t="s">
        <v>45</v>
      </c>
    </row>
    <row r="25" spans="1:31" s="5" customFormat="1">
      <c r="A25" s="9" t="s">
        <v>18</v>
      </c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50"/>
      <c r="O25" s="50"/>
      <c r="Q25" s="9" t="s">
        <v>18</v>
      </c>
      <c r="R25" s="49"/>
      <c r="S25" s="49"/>
      <c r="T25" s="49"/>
      <c r="U25" s="49"/>
      <c r="V25" s="49"/>
      <c r="W25" s="49"/>
      <c r="X25" s="49"/>
      <c r="Y25" s="49"/>
      <c r="Z25" s="49"/>
      <c r="AA25" s="49"/>
      <c r="AB25" s="49"/>
      <c r="AC25" s="49"/>
      <c r="AD25" s="50"/>
      <c r="AE25" s="50"/>
    </row>
    <row r="26" spans="1:31" ht="12.75" customHeight="1">
      <c r="A26" s="9" t="s">
        <v>19</v>
      </c>
      <c r="B26" s="25">
        <f>D9</f>
        <v>2</v>
      </c>
      <c r="C26" s="49"/>
      <c r="D26" s="49"/>
      <c r="E26" s="51"/>
      <c r="F26" s="52"/>
      <c r="G26" s="52"/>
      <c r="H26" s="52"/>
      <c r="I26" s="52"/>
      <c r="J26" s="52"/>
      <c r="K26" s="52"/>
      <c r="L26" s="52"/>
      <c r="M26" s="52"/>
      <c r="N26" s="53"/>
      <c r="O26" s="50"/>
      <c r="Q26" s="9" t="s">
        <v>19</v>
      </c>
      <c r="R26" s="25">
        <v>0</v>
      </c>
      <c r="S26" s="49"/>
      <c r="T26" s="49"/>
      <c r="U26" s="51"/>
      <c r="V26" s="52"/>
      <c r="W26" s="52"/>
      <c r="X26" s="52"/>
      <c r="Y26" s="52"/>
      <c r="Z26" s="52"/>
      <c r="AA26" s="52"/>
      <c r="AB26" s="52"/>
      <c r="AC26" s="52"/>
      <c r="AD26" s="53"/>
      <c r="AE26" s="50"/>
    </row>
    <row r="27" spans="1:31" ht="12.75" customHeight="1">
      <c r="A27" s="9" t="s">
        <v>17</v>
      </c>
      <c r="B27" s="25">
        <f>D10*B26</f>
        <v>4</v>
      </c>
      <c r="C27" s="25">
        <f>D10</f>
        <v>2</v>
      </c>
      <c r="D27" s="49"/>
      <c r="E27" s="54"/>
      <c r="F27" s="55"/>
      <c r="G27" s="55"/>
      <c r="H27" s="55"/>
      <c r="I27" s="55"/>
      <c r="J27" s="55"/>
      <c r="K27" s="55"/>
      <c r="L27" s="55"/>
      <c r="M27" s="55"/>
      <c r="N27" s="56"/>
      <c r="O27" s="50"/>
      <c r="Q27" s="9" t="s">
        <v>17</v>
      </c>
      <c r="R27" s="25">
        <v>0</v>
      </c>
      <c r="S27" s="25">
        <v>0</v>
      </c>
      <c r="T27" s="49"/>
      <c r="U27" s="54"/>
      <c r="V27" s="55"/>
      <c r="W27" s="55"/>
      <c r="X27" s="55"/>
      <c r="Y27" s="55"/>
      <c r="Z27" s="55"/>
      <c r="AA27" s="55"/>
      <c r="AB27" s="55"/>
      <c r="AC27" s="55"/>
      <c r="AD27" s="56"/>
      <c r="AE27" s="50"/>
    </row>
    <row r="28" spans="1:31">
      <c r="A28" s="9" t="s">
        <v>12</v>
      </c>
      <c r="B28" s="25">
        <f>D11*B27</f>
        <v>8</v>
      </c>
      <c r="C28" s="25">
        <f>D11*C27</f>
        <v>4</v>
      </c>
      <c r="D28" s="25">
        <f>D11</f>
        <v>2</v>
      </c>
      <c r="E28" s="49"/>
      <c r="F28" s="57"/>
      <c r="G28" s="57"/>
      <c r="H28" s="57"/>
      <c r="I28" s="57"/>
      <c r="J28" s="57"/>
      <c r="K28" s="57"/>
      <c r="L28" s="57"/>
      <c r="M28" s="57"/>
      <c r="N28" s="58"/>
      <c r="O28" s="50"/>
      <c r="Q28" s="9" t="s">
        <v>12</v>
      </c>
      <c r="R28" s="25">
        <v>0</v>
      </c>
      <c r="S28" s="25">
        <v>0</v>
      </c>
      <c r="T28" s="25">
        <v>0</v>
      </c>
      <c r="U28" s="49"/>
      <c r="V28" s="57"/>
      <c r="W28" s="57"/>
      <c r="X28" s="57"/>
      <c r="Y28" s="57"/>
      <c r="Z28" s="57"/>
      <c r="AA28" s="57"/>
      <c r="AB28" s="57"/>
      <c r="AC28" s="57"/>
      <c r="AD28" s="58"/>
      <c r="AE28" s="50"/>
    </row>
    <row r="29" spans="1:31">
      <c r="A29" s="9" t="s">
        <v>11</v>
      </c>
      <c r="B29" s="25">
        <f>D12*B28</f>
        <v>16</v>
      </c>
      <c r="C29" s="25">
        <f t="shared" ref="C29:C37" si="2">D12*C28</f>
        <v>8</v>
      </c>
      <c r="D29" s="25">
        <f>D12*D28</f>
        <v>4</v>
      </c>
      <c r="E29" s="25">
        <f>D12</f>
        <v>2</v>
      </c>
      <c r="F29" s="49"/>
      <c r="G29" s="49"/>
      <c r="H29" s="59"/>
      <c r="I29" s="59"/>
      <c r="J29" s="59"/>
      <c r="K29" s="59"/>
      <c r="L29" s="59"/>
      <c r="M29" s="50"/>
      <c r="N29" s="50"/>
      <c r="O29" s="50"/>
      <c r="Q29" s="9" t="s">
        <v>11</v>
      </c>
      <c r="R29" s="25">
        <v>0</v>
      </c>
      <c r="S29" s="25">
        <v>0</v>
      </c>
      <c r="T29" s="25">
        <v>0</v>
      </c>
      <c r="U29" s="25">
        <v>0</v>
      </c>
      <c r="V29" s="49"/>
      <c r="W29" s="49"/>
      <c r="X29" s="59"/>
      <c r="Y29" s="59"/>
      <c r="Z29" s="59"/>
      <c r="AA29" s="59"/>
      <c r="AB29" s="59"/>
      <c r="AC29" s="50"/>
      <c r="AD29" s="50"/>
      <c r="AE29" s="50"/>
    </row>
    <row r="30" spans="1:31" ht="12.75" customHeight="1">
      <c r="A30" s="9" t="s">
        <v>10</v>
      </c>
      <c r="B30" s="25">
        <f t="shared" ref="B30:B37" si="3">D13*B29</f>
        <v>32</v>
      </c>
      <c r="C30" s="25">
        <f t="shared" si="2"/>
        <v>16</v>
      </c>
      <c r="D30" s="25">
        <f t="shared" ref="D30:D37" si="4">D13*D29</f>
        <v>8</v>
      </c>
      <c r="E30" s="25">
        <f>D13*E29</f>
        <v>4</v>
      </c>
      <c r="F30" s="25">
        <f>D13</f>
        <v>2</v>
      </c>
      <c r="G30" s="49"/>
      <c r="H30" s="49"/>
      <c r="I30" s="49"/>
      <c r="J30" s="49"/>
      <c r="K30" s="49"/>
      <c r="L30" s="49"/>
      <c r="M30" s="50"/>
      <c r="N30" s="50"/>
      <c r="O30" s="50"/>
      <c r="Q30" s="9" t="s">
        <v>10</v>
      </c>
      <c r="R30" s="25">
        <v>0</v>
      </c>
      <c r="S30" s="25">
        <v>0</v>
      </c>
      <c r="T30" s="25">
        <v>0</v>
      </c>
      <c r="U30" s="25">
        <v>0</v>
      </c>
      <c r="V30" s="25">
        <v>0</v>
      </c>
      <c r="W30" s="49"/>
      <c r="X30" s="49"/>
      <c r="Y30" s="49"/>
      <c r="Z30" s="49"/>
      <c r="AA30" s="49"/>
      <c r="AB30" s="49"/>
      <c r="AC30" s="50"/>
      <c r="AD30" s="50"/>
      <c r="AE30" s="50"/>
    </row>
    <row r="31" spans="1:31">
      <c r="A31" s="9" t="s">
        <v>9</v>
      </c>
      <c r="B31" s="25">
        <f t="shared" si="3"/>
        <v>64</v>
      </c>
      <c r="C31" s="25">
        <f t="shared" si="2"/>
        <v>32</v>
      </c>
      <c r="D31" s="25">
        <f t="shared" si="4"/>
        <v>16</v>
      </c>
      <c r="E31" s="25">
        <f t="shared" ref="E31:E37" si="5">D14*E30</f>
        <v>8</v>
      </c>
      <c r="F31" s="25">
        <f>D14*F30</f>
        <v>4</v>
      </c>
      <c r="G31" s="25">
        <f>D14</f>
        <v>2</v>
      </c>
      <c r="H31" s="49"/>
      <c r="I31" s="60"/>
      <c r="J31" s="60"/>
      <c r="K31" s="60"/>
      <c r="L31" s="60"/>
      <c r="M31" s="50"/>
      <c r="N31" s="50"/>
      <c r="O31" s="50"/>
      <c r="Q31" s="9" t="s">
        <v>9</v>
      </c>
      <c r="R31" s="25">
        <v>1</v>
      </c>
      <c r="S31" s="25">
        <v>1</v>
      </c>
      <c r="T31" s="25">
        <v>1</v>
      </c>
      <c r="U31" s="25">
        <v>1</v>
      </c>
      <c r="V31" s="25">
        <v>1</v>
      </c>
      <c r="W31" s="25">
        <v>1</v>
      </c>
      <c r="X31" s="49"/>
      <c r="Y31" s="60"/>
      <c r="Z31" s="60"/>
      <c r="AA31" s="60"/>
      <c r="AB31" s="60"/>
      <c r="AC31" s="50"/>
      <c r="AD31" s="50"/>
      <c r="AE31" s="50"/>
    </row>
    <row r="32" spans="1:31">
      <c r="A32" s="9" t="s">
        <v>4</v>
      </c>
      <c r="B32" s="25">
        <f t="shared" si="3"/>
        <v>128</v>
      </c>
      <c r="C32" s="25">
        <f t="shared" si="2"/>
        <v>64</v>
      </c>
      <c r="D32" s="25">
        <f t="shared" si="4"/>
        <v>32</v>
      </c>
      <c r="E32" s="25">
        <f t="shared" si="5"/>
        <v>16</v>
      </c>
      <c r="F32" s="25">
        <f t="shared" ref="F32:F37" si="6">D15*F31</f>
        <v>8</v>
      </c>
      <c r="G32" s="25">
        <f>D15*G31</f>
        <v>4</v>
      </c>
      <c r="H32" s="25">
        <f>D15</f>
        <v>2</v>
      </c>
      <c r="I32" s="49"/>
      <c r="J32" s="60"/>
      <c r="K32" s="60"/>
      <c r="L32" s="60"/>
      <c r="M32" s="50"/>
      <c r="N32" s="50"/>
      <c r="O32" s="50"/>
      <c r="Q32" s="9" t="s">
        <v>4</v>
      </c>
      <c r="R32" s="25">
        <f>R31*$D14+1</f>
        <v>3</v>
      </c>
      <c r="S32" s="25">
        <f t="shared" ref="S32:X38" si="7">S31*$D14+1</f>
        <v>3</v>
      </c>
      <c r="T32" s="25">
        <f t="shared" si="7"/>
        <v>3</v>
      </c>
      <c r="U32" s="25">
        <f t="shared" si="7"/>
        <v>3</v>
      </c>
      <c r="V32" s="25">
        <f t="shared" si="7"/>
        <v>3</v>
      </c>
      <c r="W32" s="25">
        <f t="shared" si="7"/>
        <v>3</v>
      </c>
      <c r="X32" s="25">
        <v>1</v>
      </c>
      <c r="Y32" s="49"/>
      <c r="Z32" s="60"/>
      <c r="AA32" s="60"/>
      <c r="AB32" s="60"/>
      <c r="AC32" s="50"/>
      <c r="AD32" s="50"/>
      <c r="AE32" s="50"/>
    </row>
    <row r="33" spans="1:31">
      <c r="A33" s="9" t="s">
        <v>3</v>
      </c>
      <c r="B33" s="25">
        <f t="shared" si="3"/>
        <v>384</v>
      </c>
      <c r="C33" s="25">
        <f t="shared" si="2"/>
        <v>192</v>
      </c>
      <c r="D33" s="25">
        <f t="shared" si="4"/>
        <v>96</v>
      </c>
      <c r="E33" s="25">
        <f t="shared" si="5"/>
        <v>48</v>
      </c>
      <c r="F33" s="25">
        <f t="shared" si="6"/>
        <v>24</v>
      </c>
      <c r="G33" s="25">
        <f t="shared" ref="G33:G37" si="8">D16*G32</f>
        <v>12</v>
      </c>
      <c r="H33" s="25">
        <f>D16*H32</f>
        <v>6</v>
      </c>
      <c r="I33" s="25">
        <f>D16</f>
        <v>3</v>
      </c>
      <c r="J33" s="49"/>
      <c r="K33" s="60"/>
      <c r="L33" s="60"/>
      <c r="M33" s="50"/>
      <c r="N33" s="50"/>
      <c r="O33" s="50"/>
      <c r="Q33" s="9" t="s">
        <v>3</v>
      </c>
      <c r="R33" s="25">
        <f t="shared" ref="R33:R38" si="9">R32*$D15+1</f>
        <v>7</v>
      </c>
      <c r="S33" s="25">
        <f t="shared" si="7"/>
        <v>7</v>
      </c>
      <c r="T33" s="25">
        <f t="shared" si="7"/>
        <v>7</v>
      </c>
      <c r="U33" s="25">
        <f t="shared" si="7"/>
        <v>7</v>
      </c>
      <c r="V33" s="25">
        <f t="shared" si="7"/>
        <v>7</v>
      </c>
      <c r="W33" s="25">
        <f t="shared" si="7"/>
        <v>7</v>
      </c>
      <c r="X33" s="25">
        <f t="shared" si="7"/>
        <v>3</v>
      </c>
      <c r="Y33" s="25">
        <v>0</v>
      </c>
      <c r="Z33" s="49"/>
      <c r="AA33" s="60"/>
      <c r="AB33" s="60"/>
      <c r="AC33" s="50"/>
      <c r="AD33" s="50"/>
      <c r="AE33" s="50"/>
    </row>
    <row r="34" spans="1:31">
      <c r="A34" s="9" t="s">
        <v>2</v>
      </c>
      <c r="B34" s="25">
        <f t="shared" si="3"/>
        <v>1152</v>
      </c>
      <c r="C34" s="25">
        <f t="shared" si="2"/>
        <v>576</v>
      </c>
      <c r="D34" s="25">
        <f t="shared" si="4"/>
        <v>288</v>
      </c>
      <c r="E34" s="25">
        <f t="shared" si="5"/>
        <v>144</v>
      </c>
      <c r="F34" s="25">
        <f t="shared" si="6"/>
        <v>72</v>
      </c>
      <c r="G34" s="25">
        <f t="shared" si="8"/>
        <v>36</v>
      </c>
      <c r="H34" s="25">
        <f t="shared" ref="H34:H37" si="10">D17*H33</f>
        <v>18</v>
      </c>
      <c r="I34" s="25">
        <f t="shared" ref="I34:I37" si="11">D17*I33</f>
        <v>9</v>
      </c>
      <c r="J34" s="25">
        <f>D17</f>
        <v>3</v>
      </c>
      <c r="K34" s="49"/>
      <c r="L34" s="60"/>
      <c r="M34" s="50"/>
      <c r="N34" s="50"/>
      <c r="O34" s="50"/>
      <c r="Q34" s="9" t="s">
        <v>2</v>
      </c>
      <c r="R34" s="25">
        <f t="shared" si="9"/>
        <v>22</v>
      </c>
      <c r="S34" s="25">
        <f t="shared" si="7"/>
        <v>22</v>
      </c>
      <c r="T34" s="25">
        <f t="shared" si="7"/>
        <v>22</v>
      </c>
      <c r="U34" s="25">
        <f t="shared" si="7"/>
        <v>22</v>
      </c>
      <c r="V34" s="25">
        <f t="shared" si="7"/>
        <v>22</v>
      </c>
      <c r="W34" s="25">
        <f t="shared" si="7"/>
        <v>22</v>
      </c>
      <c r="X34" s="25">
        <f t="shared" si="7"/>
        <v>10</v>
      </c>
      <c r="Y34" s="25">
        <v>0</v>
      </c>
      <c r="Z34" s="25">
        <v>0</v>
      </c>
      <c r="AA34" s="49"/>
      <c r="AB34" s="60"/>
      <c r="AC34" s="50"/>
      <c r="AD34" s="50"/>
      <c r="AE34" s="50"/>
    </row>
    <row r="35" spans="1:31">
      <c r="A35" s="9" t="s">
        <v>1</v>
      </c>
      <c r="B35" s="25">
        <f t="shared" si="3"/>
        <v>3456</v>
      </c>
      <c r="C35" s="25">
        <f t="shared" si="2"/>
        <v>1728</v>
      </c>
      <c r="D35" s="25">
        <f t="shared" si="4"/>
        <v>864</v>
      </c>
      <c r="E35" s="25">
        <f t="shared" si="5"/>
        <v>432</v>
      </c>
      <c r="F35" s="25">
        <f t="shared" si="6"/>
        <v>216</v>
      </c>
      <c r="G35" s="25">
        <f t="shared" si="8"/>
        <v>108</v>
      </c>
      <c r="H35" s="25">
        <f t="shared" si="10"/>
        <v>54</v>
      </c>
      <c r="I35" s="25">
        <f t="shared" si="11"/>
        <v>27</v>
      </c>
      <c r="J35" s="25">
        <f t="shared" ref="J35:J37" si="12">$D$21*J34</f>
        <v>9</v>
      </c>
      <c r="K35" s="25">
        <f>D18</f>
        <v>3</v>
      </c>
      <c r="L35" s="49"/>
      <c r="M35" s="50"/>
      <c r="N35" s="50"/>
      <c r="O35" s="50"/>
      <c r="Q35" s="9" t="s">
        <v>1</v>
      </c>
      <c r="R35" s="25">
        <f t="shared" si="9"/>
        <v>67</v>
      </c>
      <c r="S35" s="25">
        <f t="shared" si="7"/>
        <v>67</v>
      </c>
      <c r="T35" s="25">
        <f t="shared" si="7"/>
        <v>67</v>
      </c>
      <c r="U35" s="25">
        <f t="shared" si="7"/>
        <v>67</v>
      </c>
      <c r="V35" s="25">
        <f t="shared" si="7"/>
        <v>67</v>
      </c>
      <c r="W35" s="25">
        <f t="shared" si="7"/>
        <v>67</v>
      </c>
      <c r="X35" s="25">
        <f t="shared" si="7"/>
        <v>31</v>
      </c>
      <c r="Y35" s="25">
        <v>0</v>
      </c>
      <c r="Z35" s="25">
        <v>0</v>
      </c>
      <c r="AA35" s="25">
        <v>0</v>
      </c>
      <c r="AB35" s="49"/>
      <c r="AC35" s="50"/>
      <c r="AD35" s="50"/>
      <c r="AE35" s="50"/>
    </row>
    <row r="36" spans="1:31">
      <c r="A36" s="9" t="s">
        <v>41</v>
      </c>
      <c r="B36" s="25">
        <f t="shared" si="3"/>
        <v>10368</v>
      </c>
      <c r="C36" s="25">
        <f t="shared" si="2"/>
        <v>5184</v>
      </c>
      <c r="D36" s="25">
        <f t="shared" si="4"/>
        <v>2592</v>
      </c>
      <c r="E36" s="25">
        <f t="shared" si="5"/>
        <v>1296</v>
      </c>
      <c r="F36" s="25">
        <f t="shared" si="6"/>
        <v>648</v>
      </c>
      <c r="G36" s="25">
        <f t="shared" si="8"/>
        <v>324</v>
      </c>
      <c r="H36" s="25">
        <f t="shared" si="10"/>
        <v>162</v>
      </c>
      <c r="I36" s="25">
        <f t="shared" si="11"/>
        <v>81</v>
      </c>
      <c r="J36" s="25">
        <f t="shared" si="12"/>
        <v>27</v>
      </c>
      <c r="K36" s="25">
        <f t="shared" ref="E36:M38" si="13">$D$21*K35</f>
        <v>9</v>
      </c>
      <c r="L36" s="61">
        <f>D19</f>
        <v>3</v>
      </c>
      <c r="M36" s="49"/>
      <c r="N36" s="50"/>
      <c r="O36" s="50"/>
      <c r="Q36" s="9" t="s">
        <v>41</v>
      </c>
      <c r="R36" s="25">
        <f t="shared" si="9"/>
        <v>202</v>
      </c>
      <c r="S36" s="25">
        <f t="shared" si="7"/>
        <v>202</v>
      </c>
      <c r="T36" s="25">
        <f t="shared" si="7"/>
        <v>202</v>
      </c>
      <c r="U36" s="25">
        <f t="shared" si="7"/>
        <v>202</v>
      </c>
      <c r="V36" s="25">
        <f t="shared" si="7"/>
        <v>202</v>
      </c>
      <c r="W36" s="25">
        <f t="shared" si="7"/>
        <v>202</v>
      </c>
      <c r="X36" s="25">
        <f t="shared" si="7"/>
        <v>94</v>
      </c>
      <c r="Y36" s="25">
        <v>0</v>
      </c>
      <c r="Z36" s="25">
        <v>0</v>
      </c>
      <c r="AA36" s="25">
        <v>0</v>
      </c>
      <c r="AB36" s="61">
        <v>0</v>
      </c>
      <c r="AC36" s="49"/>
      <c r="AD36" s="50"/>
      <c r="AE36" s="50"/>
    </row>
    <row r="37" spans="1:31">
      <c r="A37" s="9" t="s">
        <v>44</v>
      </c>
      <c r="B37" s="25">
        <f t="shared" si="3"/>
        <v>31104</v>
      </c>
      <c r="C37" s="25">
        <f t="shared" si="2"/>
        <v>15552</v>
      </c>
      <c r="D37" s="25">
        <f t="shared" si="4"/>
        <v>7776</v>
      </c>
      <c r="E37" s="25">
        <f t="shared" si="5"/>
        <v>3888</v>
      </c>
      <c r="F37" s="25">
        <f t="shared" si="6"/>
        <v>1944</v>
      </c>
      <c r="G37" s="25">
        <f t="shared" si="8"/>
        <v>972</v>
      </c>
      <c r="H37" s="25">
        <f t="shared" si="10"/>
        <v>486</v>
      </c>
      <c r="I37" s="25">
        <f t="shared" si="11"/>
        <v>243</v>
      </c>
      <c r="J37" s="25">
        <f t="shared" si="12"/>
        <v>81</v>
      </c>
      <c r="K37" s="25">
        <f t="shared" si="13"/>
        <v>27</v>
      </c>
      <c r="L37" s="25">
        <f t="shared" si="13"/>
        <v>9</v>
      </c>
      <c r="M37" s="61">
        <f>D20</f>
        <v>3</v>
      </c>
      <c r="N37" s="49"/>
      <c r="O37" s="50"/>
      <c r="Q37" s="9" t="s">
        <v>44</v>
      </c>
      <c r="R37" s="25">
        <f t="shared" si="9"/>
        <v>607</v>
      </c>
      <c r="S37" s="25">
        <f t="shared" si="7"/>
        <v>607</v>
      </c>
      <c r="T37" s="25">
        <f t="shared" si="7"/>
        <v>607</v>
      </c>
      <c r="U37" s="25">
        <f t="shared" si="7"/>
        <v>607</v>
      </c>
      <c r="V37" s="25">
        <f t="shared" si="7"/>
        <v>607</v>
      </c>
      <c r="W37" s="25">
        <f t="shared" si="7"/>
        <v>607</v>
      </c>
      <c r="X37" s="25">
        <f t="shared" si="7"/>
        <v>283</v>
      </c>
      <c r="Y37" s="25">
        <v>0</v>
      </c>
      <c r="Z37" s="25">
        <v>0</v>
      </c>
      <c r="AA37" s="25">
        <v>0</v>
      </c>
      <c r="AB37" s="25">
        <v>0</v>
      </c>
      <c r="AC37" s="61">
        <v>0</v>
      </c>
      <c r="AD37" s="49"/>
      <c r="AE37" s="50"/>
    </row>
    <row r="38" spans="1:31">
      <c r="A38" s="9" t="s">
        <v>45</v>
      </c>
      <c r="B38" s="25">
        <f>$D$21*B37</f>
        <v>93312</v>
      </c>
      <c r="C38" s="25">
        <f>$D$21*C37</f>
        <v>46656</v>
      </c>
      <c r="D38" s="25">
        <f>$D$21*D37</f>
        <v>23328</v>
      </c>
      <c r="E38" s="25">
        <f t="shared" si="13"/>
        <v>11664</v>
      </c>
      <c r="F38" s="25">
        <f t="shared" si="13"/>
        <v>5832</v>
      </c>
      <c r="G38" s="25">
        <f t="shared" si="13"/>
        <v>2916</v>
      </c>
      <c r="H38" s="25">
        <f t="shared" si="13"/>
        <v>1458</v>
      </c>
      <c r="I38" s="25">
        <f t="shared" si="13"/>
        <v>729</v>
      </c>
      <c r="J38" s="25">
        <f t="shared" si="13"/>
        <v>243</v>
      </c>
      <c r="K38" s="25">
        <f t="shared" si="13"/>
        <v>81</v>
      </c>
      <c r="L38" s="25">
        <f t="shared" si="13"/>
        <v>27</v>
      </c>
      <c r="M38" s="25">
        <f t="shared" si="13"/>
        <v>9</v>
      </c>
      <c r="N38" s="61">
        <f>D21</f>
        <v>3</v>
      </c>
      <c r="O38" s="49"/>
      <c r="Q38" s="9" t="s">
        <v>45</v>
      </c>
      <c r="R38" s="25">
        <f t="shared" si="9"/>
        <v>1822</v>
      </c>
      <c r="S38" s="25">
        <f t="shared" si="7"/>
        <v>1822</v>
      </c>
      <c r="T38" s="25">
        <f t="shared" si="7"/>
        <v>1822</v>
      </c>
      <c r="U38" s="25">
        <f t="shared" si="7"/>
        <v>1822</v>
      </c>
      <c r="V38" s="25">
        <f t="shared" si="7"/>
        <v>1822</v>
      </c>
      <c r="W38" s="25">
        <f t="shared" si="7"/>
        <v>1822</v>
      </c>
      <c r="X38" s="25">
        <f t="shared" si="7"/>
        <v>850</v>
      </c>
      <c r="Y38" s="25">
        <v>0</v>
      </c>
      <c r="Z38" s="25">
        <v>0</v>
      </c>
      <c r="AA38" s="25">
        <v>0</v>
      </c>
      <c r="AB38" s="25">
        <v>0</v>
      </c>
      <c r="AC38" s="25">
        <v>0</v>
      </c>
      <c r="AD38" s="61">
        <v>0</v>
      </c>
      <c r="AE38" s="49"/>
    </row>
    <row r="40" spans="1:31">
      <c r="A40" s="144" t="s">
        <v>21</v>
      </c>
      <c r="B40" s="144"/>
      <c r="C40" s="144"/>
      <c r="D40" s="144"/>
      <c r="E40" s="144"/>
      <c r="F40" s="144"/>
      <c r="G40" s="144"/>
      <c r="H40" s="144"/>
      <c r="I40" s="144"/>
      <c r="J40" s="144"/>
      <c r="K40" s="144"/>
      <c r="L40" s="144"/>
      <c r="M40" s="144"/>
      <c r="N40" s="144"/>
      <c r="O40" s="144"/>
      <c r="Q40" s="144" t="s">
        <v>208</v>
      </c>
      <c r="R40" s="144"/>
      <c r="S40" s="144"/>
      <c r="T40" s="144"/>
      <c r="U40" s="144"/>
      <c r="V40" s="144"/>
      <c r="W40" s="144"/>
      <c r="X40" s="144"/>
      <c r="Y40" s="144"/>
      <c r="Z40" s="144"/>
      <c r="AA40" s="144"/>
      <c r="AB40" s="144"/>
      <c r="AC40" s="144"/>
      <c r="AD40" s="144"/>
      <c r="AE40" s="144"/>
    </row>
    <row r="41" spans="1:31" ht="25.5">
      <c r="A41" s="8" t="s">
        <v>20</v>
      </c>
      <c r="B41" s="3" t="s">
        <v>18</v>
      </c>
      <c r="C41" s="3" t="s">
        <v>19</v>
      </c>
      <c r="D41" s="3" t="s">
        <v>17</v>
      </c>
      <c r="E41" s="3" t="s">
        <v>12</v>
      </c>
      <c r="F41" s="3" t="s">
        <v>11</v>
      </c>
      <c r="G41" s="3" t="s">
        <v>10</v>
      </c>
      <c r="H41" s="3" t="s">
        <v>9</v>
      </c>
      <c r="I41" s="3" t="s">
        <v>4</v>
      </c>
      <c r="J41" s="3" t="s">
        <v>3</v>
      </c>
      <c r="K41" s="3" t="s">
        <v>2</v>
      </c>
      <c r="L41" s="3" t="s">
        <v>1</v>
      </c>
      <c r="M41" s="3" t="s">
        <v>41</v>
      </c>
      <c r="N41" s="3" t="s">
        <v>44</v>
      </c>
      <c r="O41" s="3" t="s">
        <v>45</v>
      </c>
      <c r="Q41" s="8" t="s">
        <v>20</v>
      </c>
      <c r="R41" s="3" t="s">
        <v>18</v>
      </c>
      <c r="S41" s="3" t="s">
        <v>19</v>
      </c>
      <c r="T41" s="3" t="s">
        <v>17</v>
      </c>
      <c r="U41" s="3" t="s">
        <v>12</v>
      </c>
      <c r="V41" s="3" t="s">
        <v>11</v>
      </c>
      <c r="W41" s="3" t="s">
        <v>10</v>
      </c>
      <c r="X41" s="3" t="s">
        <v>9</v>
      </c>
      <c r="Y41" s="3" t="s">
        <v>4</v>
      </c>
      <c r="Z41" s="3" t="s">
        <v>3</v>
      </c>
      <c r="AA41" s="3" t="s">
        <v>2</v>
      </c>
      <c r="AB41" s="3" t="s">
        <v>1</v>
      </c>
      <c r="AC41" s="3" t="s">
        <v>41</v>
      </c>
      <c r="AD41" s="3" t="s">
        <v>44</v>
      </c>
      <c r="AE41" s="3" t="s">
        <v>45</v>
      </c>
    </row>
    <row r="42" spans="1:31">
      <c r="A42" s="9" t="s">
        <v>18</v>
      </c>
      <c r="B42" s="40">
        <f>B8</f>
        <v>385</v>
      </c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6"/>
      <c r="O42" s="16"/>
      <c r="Q42" s="9" t="s">
        <v>18</v>
      </c>
      <c r="R42" s="49"/>
      <c r="S42" s="49"/>
      <c r="T42" s="49"/>
      <c r="U42" s="49"/>
      <c r="V42" s="49"/>
      <c r="W42" s="49"/>
      <c r="X42" s="49"/>
      <c r="Y42" s="49"/>
      <c r="Z42" s="49"/>
      <c r="AA42" s="49"/>
      <c r="AB42" s="49"/>
      <c r="AC42" s="49"/>
      <c r="AD42" s="50"/>
      <c r="AE42" s="50"/>
    </row>
    <row r="43" spans="1:31">
      <c r="A43" s="9" t="s">
        <v>19</v>
      </c>
      <c r="B43" s="10">
        <f>D9*B8+H9+G9</f>
        <v>780</v>
      </c>
      <c r="C43" s="40">
        <f>B9</f>
        <v>65</v>
      </c>
      <c r="D43" s="19"/>
      <c r="E43" s="31"/>
      <c r="F43" s="32"/>
      <c r="G43" s="32"/>
      <c r="H43" s="32"/>
      <c r="I43" s="32"/>
      <c r="J43" s="32"/>
      <c r="K43" s="32"/>
      <c r="L43" s="32"/>
      <c r="M43" s="32"/>
      <c r="N43" s="33"/>
      <c r="O43" s="16"/>
      <c r="Q43" s="9" t="s">
        <v>19</v>
      </c>
      <c r="R43" s="25">
        <v>0</v>
      </c>
      <c r="S43" s="49"/>
      <c r="T43" s="49"/>
      <c r="U43" s="51"/>
      <c r="V43" s="52"/>
      <c r="W43" s="52"/>
      <c r="X43" s="52"/>
      <c r="Y43" s="52"/>
      <c r="Z43" s="52"/>
      <c r="AA43" s="52"/>
      <c r="AB43" s="52"/>
      <c r="AC43" s="52"/>
      <c r="AD43" s="53"/>
      <c r="AE43" s="50"/>
    </row>
    <row r="44" spans="1:31">
      <c r="A44" s="9" t="s">
        <v>17</v>
      </c>
      <c r="B44" s="10">
        <f t="shared" ref="B44:B55" si="14">D10*B43+H10+G10</f>
        <v>1585</v>
      </c>
      <c r="C44" s="10">
        <f>D10*B9+H10+G10</f>
        <v>155</v>
      </c>
      <c r="D44" s="39">
        <f>B10</f>
        <v>52</v>
      </c>
      <c r="E44" s="34"/>
      <c r="F44" s="35"/>
      <c r="G44" s="35"/>
      <c r="H44" s="35"/>
      <c r="I44" s="35"/>
      <c r="J44" s="35"/>
      <c r="K44" s="35"/>
      <c r="L44" s="35"/>
      <c r="M44" s="35"/>
      <c r="N44" s="36"/>
      <c r="O44" s="16"/>
      <c r="Q44" s="9" t="s">
        <v>17</v>
      </c>
      <c r="R44" s="25">
        <v>0</v>
      </c>
      <c r="S44" s="25">
        <v>0</v>
      </c>
      <c r="T44" s="49"/>
      <c r="U44" s="54"/>
      <c r="V44" s="55"/>
      <c r="W44" s="55"/>
      <c r="X44" s="55"/>
      <c r="Y44" s="55"/>
      <c r="Z44" s="55"/>
      <c r="AA44" s="55"/>
      <c r="AB44" s="55"/>
      <c r="AC44" s="55"/>
      <c r="AD44" s="56"/>
      <c r="AE44" s="50"/>
    </row>
    <row r="45" spans="1:31">
      <c r="A45" s="9" t="s">
        <v>12</v>
      </c>
      <c r="B45" s="10">
        <f t="shared" si="14"/>
        <v>3210</v>
      </c>
      <c r="C45" s="10">
        <f t="shared" ref="C45:C55" si="15">D11*C44+H11+G11</f>
        <v>350</v>
      </c>
      <c r="D45" s="10">
        <f>D11*B10+H11+G11</f>
        <v>144</v>
      </c>
      <c r="E45" s="41">
        <f>B11</f>
        <v>88</v>
      </c>
      <c r="F45" s="37"/>
      <c r="G45" s="37"/>
      <c r="H45" s="37"/>
      <c r="I45" s="37"/>
      <c r="J45" s="37"/>
      <c r="K45" s="37"/>
      <c r="L45" s="37"/>
      <c r="M45" s="37"/>
      <c r="N45" s="38"/>
      <c r="O45" s="16"/>
      <c r="Q45" s="9" t="s">
        <v>12</v>
      </c>
      <c r="R45" s="25">
        <v>0</v>
      </c>
      <c r="S45" s="25">
        <v>0</v>
      </c>
      <c r="T45" s="25">
        <v>0</v>
      </c>
      <c r="U45" s="49"/>
      <c r="V45" s="57"/>
      <c r="W45" s="57"/>
      <c r="X45" s="57"/>
      <c r="Y45" s="57"/>
      <c r="Z45" s="57"/>
      <c r="AA45" s="57"/>
      <c r="AB45" s="57"/>
      <c r="AC45" s="57"/>
      <c r="AD45" s="58"/>
      <c r="AE45" s="50"/>
    </row>
    <row r="46" spans="1:31">
      <c r="A46" s="9" t="s">
        <v>11</v>
      </c>
      <c r="B46" s="10">
        <f t="shared" si="14"/>
        <v>7481</v>
      </c>
      <c r="C46" s="10">
        <f t="shared" si="15"/>
        <v>1761</v>
      </c>
      <c r="D46" s="10">
        <f t="shared" ref="D46:D55" si="16">D12*D45+H12+G12</f>
        <v>1349</v>
      </c>
      <c r="E46" s="10">
        <f>D12*B11+H12+G12</f>
        <v>1237</v>
      </c>
      <c r="F46" s="39">
        <f>B12</f>
        <v>48</v>
      </c>
      <c r="G46" s="19"/>
      <c r="H46" s="18"/>
      <c r="I46" s="18"/>
      <c r="J46" s="18"/>
      <c r="K46" s="18"/>
      <c r="L46" s="18"/>
      <c r="M46" s="16"/>
      <c r="N46" s="16"/>
      <c r="O46" s="16"/>
      <c r="Q46" s="9" t="s">
        <v>11</v>
      </c>
      <c r="R46" s="25">
        <v>0</v>
      </c>
      <c r="S46" s="25">
        <v>0</v>
      </c>
      <c r="T46" s="25">
        <v>0</v>
      </c>
      <c r="U46" s="25">
        <v>0</v>
      </c>
      <c r="V46" s="49"/>
      <c r="W46" s="49"/>
      <c r="X46" s="59"/>
      <c r="Y46" s="59"/>
      <c r="Z46" s="59"/>
      <c r="AA46" s="59"/>
      <c r="AB46" s="59"/>
      <c r="AC46" s="50"/>
      <c r="AD46" s="50"/>
      <c r="AE46" s="50"/>
    </row>
    <row r="47" spans="1:31">
      <c r="A47" s="9" t="s">
        <v>10</v>
      </c>
      <c r="B47" s="10">
        <f t="shared" si="14"/>
        <v>16038</v>
      </c>
      <c r="C47" s="10">
        <f t="shared" si="15"/>
        <v>4598</v>
      </c>
      <c r="D47" s="10">
        <f t="shared" si="16"/>
        <v>3774</v>
      </c>
      <c r="E47" s="10">
        <f t="shared" ref="E47:E55" si="17">D13*E46+G13+H13</f>
        <v>3550</v>
      </c>
      <c r="F47" s="10">
        <f>D13*B12+G13+H13</f>
        <v>1172</v>
      </c>
      <c r="G47" s="40">
        <f>B13</f>
        <v>71</v>
      </c>
      <c r="H47" s="19"/>
      <c r="I47" s="19"/>
      <c r="J47" s="19"/>
      <c r="K47" s="19"/>
      <c r="L47" s="19"/>
      <c r="M47" s="16"/>
      <c r="N47" s="16"/>
      <c r="O47" s="16"/>
      <c r="Q47" s="9" t="s">
        <v>10</v>
      </c>
      <c r="R47" s="25">
        <v>0</v>
      </c>
      <c r="S47" s="25">
        <v>0</v>
      </c>
      <c r="T47" s="25">
        <v>0</v>
      </c>
      <c r="U47" s="25">
        <v>0</v>
      </c>
      <c r="V47" s="25">
        <v>0</v>
      </c>
      <c r="W47" s="49"/>
      <c r="X47" s="49"/>
      <c r="Y47" s="49"/>
      <c r="Z47" s="49"/>
      <c r="AA47" s="49"/>
      <c r="AB47" s="49"/>
      <c r="AC47" s="50"/>
      <c r="AD47" s="50"/>
      <c r="AE47" s="50"/>
    </row>
    <row r="48" spans="1:31">
      <c r="A48" s="9" t="s">
        <v>9</v>
      </c>
      <c r="B48" s="10">
        <f t="shared" si="14"/>
        <v>32462</v>
      </c>
      <c r="C48" s="10">
        <f t="shared" si="15"/>
        <v>9582</v>
      </c>
      <c r="D48" s="10">
        <f t="shared" si="16"/>
        <v>7934</v>
      </c>
      <c r="E48" s="10">
        <f t="shared" si="17"/>
        <v>7486</v>
      </c>
      <c r="F48" s="10">
        <f t="shared" ref="F48:F55" si="18">D14*F47+G14+H14</f>
        <v>2730</v>
      </c>
      <c r="G48" s="10">
        <f>D14*B13+G14+H14</f>
        <v>528</v>
      </c>
      <c r="H48" s="39">
        <f>B14</f>
        <v>278</v>
      </c>
      <c r="I48" s="11"/>
      <c r="J48" s="11"/>
      <c r="K48" s="11"/>
      <c r="L48" s="11"/>
      <c r="M48" s="16"/>
      <c r="N48" s="16"/>
      <c r="O48" s="16"/>
      <c r="Q48" s="9" t="s">
        <v>9</v>
      </c>
      <c r="R48" s="25">
        <v>0</v>
      </c>
      <c r="S48" s="25">
        <v>0</v>
      </c>
      <c r="T48" s="25">
        <v>0</v>
      </c>
      <c r="U48" s="25">
        <v>0</v>
      </c>
      <c r="V48" s="25">
        <v>0</v>
      </c>
      <c r="W48" s="25">
        <v>0</v>
      </c>
      <c r="X48" s="49"/>
      <c r="Y48" s="60"/>
      <c r="Z48" s="60"/>
      <c r="AA48" s="60"/>
      <c r="AB48" s="60"/>
      <c r="AC48" s="50"/>
      <c r="AD48" s="50"/>
      <c r="AE48" s="50"/>
    </row>
    <row r="49" spans="1:31">
      <c r="A49" s="9" t="s">
        <v>4</v>
      </c>
      <c r="B49" s="10">
        <f t="shared" si="14"/>
        <v>65325</v>
      </c>
      <c r="C49" s="10">
        <f t="shared" si="15"/>
        <v>19565</v>
      </c>
      <c r="D49" s="10">
        <f t="shared" si="16"/>
        <v>16269</v>
      </c>
      <c r="E49" s="10">
        <f t="shared" si="17"/>
        <v>15373</v>
      </c>
      <c r="F49" s="10">
        <f t="shared" si="18"/>
        <v>5861</v>
      </c>
      <c r="G49" s="10">
        <f t="shared" ref="G49:G55" si="19">D15*G48+G15+H15</f>
        <v>1457</v>
      </c>
      <c r="H49" s="10">
        <f>D15*B14+G15+H15</f>
        <v>957</v>
      </c>
      <c r="I49" s="39">
        <f>B15</f>
        <v>842</v>
      </c>
      <c r="J49" s="11"/>
      <c r="K49" s="11"/>
      <c r="L49" s="11"/>
      <c r="M49" s="16"/>
      <c r="N49" s="16"/>
      <c r="O49" s="16"/>
      <c r="Q49" s="9" t="s">
        <v>4</v>
      </c>
      <c r="R49" s="25">
        <v>0</v>
      </c>
      <c r="S49" s="25">
        <v>0</v>
      </c>
      <c r="T49" s="25">
        <v>0</v>
      </c>
      <c r="U49" s="25">
        <v>0</v>
      </c>
      <c r="V49" s="25">
        <v>0</v>
      </c>
      <c r="W49" s="25">
        <v>0</v>
      </c>
      <c r="X49" s="25">
        <v>0</v>
      </c>
      <c r="Y49" s="49"/>
      <c r="Z49" s="60"/>
      <c r="AA49" s="60"/>
      <c r="AB49" s="60"/>
      <c r="AC49" s="50"/>
      <c r="AD49" s="50"/>
      <c r="AE49" s="50"/>
    </row>
    <row r="50" spans="1:31">
      <c r="A50" s="9" t="s">
        <v>3</v>
      </c>
      <c r="B50" s="10">
        <f t="shared" si="14"/>
        <v>230439</v>
      </c>
      <c r="C50" s="10">
        <f t="shared" si="15"/>
        <v>93159</v>
      </c>
      <c r="D50" s="10">
        <f t="shared" si="16"/>
        <v>83271</v>
      </c>
      <c r="E50" s="10">
        <f t="shared" si="17"/>
        <v>80583</v>
      </c>
      <c r="F50" s="10">
        <f t="shared" si="18"/>
        <v>52047</v>
      </c>
      <c r="G50" s="10">
        <f t="shared" si="19"/>
        <v>38835</v>
      </c>
      <c r="H50" s="10">
        <f t="shared" ref="H50:H55" si="20">H49*D16+G16+H16</f>
        <v>37335</v>
      </c>
      <c r="I50" s="10">
        <f>D16*B15+G16+H16</f>
        <v>36990</v>
      </c>
      <c r="J50" s="39">
        <f>B16</f>
        <v>45000</v>
      </c>
      <c r="K50" s="11"/>
      <c r="L50" s="11"/>
      <c r="M50" s="16"/>
      <c r="N50" s="16"/>
      <c r="O50" s="16"/>
      <c r="Q50" s="9" t="s">
        <v>3</v>
      </c>
      <c r="R50" s="25">
        <f>$E16</f>
        <v>3</v>
      </c>
      <c r="S50" s="25">
        <f t="shared" ref="S50:X50" si="21">$E16</f>
        <v>3</v>
      </c>
      <c r="T50" s="25">
        <f t="shared" si="21"/>
        <v>3</v>
      </c>
      <c r="U50" s="25">
        <f t="shared" si="21"/>
        <v>3</v>
      </c>
      <c r="V50" s="25">
        <f t="shared" si="21"/>
        <v>3</v>
      </c>
      <c r="W50" s="25">
        <f t="shared" si="21"/>
        <v>3</v>
      </c>
      <c r="X50" s="25">
        <f t="shared" si="21"/>
        <v>3</v>
      </c>
      <c r="Y50" s="25">
        <f>$E16</f>
        <v>3</v>
      </c>
      <c r="Z50" s="49"/>
      <c r="AA50" s="60"/>
      <c r="AB50" s="60"/>
      <c r="AC50" s="50"/>
      <c r="AD50" s="50"/>
      <c r="AE50" s="50"/>
    </row>
    <row r="51" spans="1:31">
      <c r="A51" s="9" t="s">
        <v>2</v>
      </c>
      <c r="B51" s="10">
        <f t="shared" si="14"/>
        <v>750245</v>
      </c>
      <c r="C51" s="10">
        <f t="shared" si="15"/>
        <v>338405</v>
      </c>
      <c r="D51" s="10">
        <f t="shared" si="16"/>
        <v>308741</v>
      </c>
      <c r="E51" s="10">
        <f t="shared" si="17"/>
        <v>300677</v>
      </c>
      <c r="F51" s="10">
        <f t="shared" si="18"/>
        <v>215069</v>
      </c>
      <c r="G51" s="10">
        <f t="shared" si="19"/>
        <v>175433</v>
      </c>
      <c r="H51" s="10">
        <f t="shared" si="20"/>
        <v>170933</v>
      </c>
      <c r="I51" s="10">
        <f>I50*D17+G17+H17</f>
        <v>169898</v>
      </c>
      <c r="J51" s="10">
        <f>D17*B16+G17+H17</f>
        <v>193928</v>
      </c>
      <c r="K51" s="39">
        <f>B17</f>
        <v>197000</v>
      </c>
      <c r="L51" s="11"/>
      <c r="M51" s="16"/>
      <c r="N51" s="16"/>
      <c r="O51" s="16"/>
      <c r="Q51" s="9" t="s">
        <v>2</v>
      </c>
      <c r="R51" s="25">
        <f>$E17+$D17*R50</f>
        <v>15</v>
      </c>
      <c r="S51" s="25">
        <f t="shared" ref="S51:V55" si="22">$E17+$D17*S50</f>
        <v>15</v>
      </c>
      <c r="T51" s="25">
        <f t="shared" si="22"/>
        <v>15</v>
      </c>
      <c r="U51" s="25">
        <f t="shared" si="22"/>
        <v>15</v>
      </c>
      <c r="V51" s="25">
        <f t="shared" si="22"/>
        <v>15</v>
      </c>
      <c r="W51" s="25">
        <f>$E17+$D17*W50</f>
        <v>15</v>
      </c>
      <c r="X51" s="25">
        <f t="shared" ref="X51:X55" si="23">$E17+$D17*X50</f>
        <v>15</v>
      </c>
      <c r="Y51" s="25">
        <f t="shared" ref="Y51:AC55" si="24">$E17+$D17*Y50</f>
        <v>15</v>
      </c>
      <c r="Z51" s="25">
        <f>$E17</f>
        <v>6</v>
      </c>
      <c r="AA51" s="49"/>
      <c r="AB51" s="60"/>
      <c r="AC51" s="50"/>
      <c r="AD51" s="50"/>
      <c r="AE51" s="50"/>
    </row>
    <row r="52" spans="1:31">
      <c r="A52" s="9" t="s">
        <v>1</v>
      </c>
      <c r="B52" s="10">
        <f t="shared" si="14"/>
        <v>2344127</v>
      </c>
      <c r="C52" s="10">
        <f t="shared" si="15"/>
        <v>1108607</v>
      </c>
      <c r="D52" s="10">
        <f t="shared" si="16"/>
        <v>1019615</v>
      </c>
      <c r="E52" s="10">
        <f t="shared" si="17"/>
        <v>995423</v>
      </c>
      <c r="F52" s="10">
        <f t="shared" si="18"/>
        <v>738599</v>
      </c>
      <c r="G52" s="10">
        <f t="shared" si="19"/>
        <v>619691</v>
      </c>
      <c r="H52" s="10">
        <f t="shared" si="20"/>
        <v>606191</v>
      </c>
      <c r="I52" s="10">
        <f>I51*D18+G18+H18</f>
        <v>603086</v>
      </c>
      <c r="J52" s="10">
        <f>J51*D18+G18+H18</f>
        <v>675176</v>
      </c>
      <c r="K52" s="10">
        <f>D18*B17+G18+H18</f>
        <v>684392</v>
      </c>
      <c r="L52" s="39">
        <f>B18</f>
        <v>712000</v>
      </c>
      <c r="M52" s="16"/>
      <c r="N52" s="16"/>
      <c r="O52" s="16"/>
      <c r="Q52" s="9" t="s">
        <v>1</v>
      </c>
      <c r="R52" s="25">
        <f t="shared" ref="R52:R55" si="25">$E18+$D18*R51</f>
        <v>54</v>
      </c>
      <c r="S52" s="25">
        <f t="shared" si="22"/>
        <v>54</v>
      </c>
      <c r="T52" s="25">
        <f t="shared" si="22"/>
        <v>54</v>
      </c>
      <c r="U52" s="25">
        <f t="shared" si="22"/>
        <v>54</v>
      </c>
      <c r="V52" s="25">
        <f t="shared" si="22"/>
        <v>54</v>
      </c>
      <c r="W52" s="25">
        <f t="shared" ref="W52:W55" si="26">$E18+$D18*W51</f>
        <v>54</v>
      </c>
      <c r="X52" s="25">
        <f t="shared" si="23"/>
        <v>54</v>
      </c>
      <c r="Y52" s="25">
        <f t="shared" si="24"/>
        <v>54</v>
      </c>
      <c r="Z52" s="25">
        <f t="shared" si="24"/>
        <v>27</v>
      </c>
      <c r="AA52" s="25">
        <f>$E18</f>
        <v>9</v>
      </c>
      <c r="AB52" s="49"/>
      <c r="AC52" s="50"/>
      <c r="AD52" s="50"/>
      <c r="AE52" s="50"/>
    </row>
    <row r="53" spans="1:31">
      <c r="A53" s="9" t="s">
        <v>41</v>
      </c>
      <c r="B53" s="10">
        <f t="shared" si="14"/>
        <v>7150237</v>
      </c>
      <c r="C53" s="10">
        <f t="shared" si="15"/>
        <v>3443677</v>
      </c>
      <c r="D53" s="10">
        <f t="shared" si="16"/>
        <v>3176701</v>
      </c>
      <c r="E53" s="10">
        <f t="shared" si="17"/>
        <v>3104125</v>
      </c>
      <c r="F53" s="10">
        <f t="shared" si="18"/>
        <v>2333653</v>
      </c>
      <c r="G53" s="10">
        <f t="shared" si="19"/>
        <v>1976929</v>
      </c>
      <c r="H53" s="10">
        <f t="shared" si="20"/>
        <v>1936429</v>
      </c>
      <c r="I53" s="10">
        <f>I52*D19+G19+H19</f>
        <v>1927114</v>
      </c>
      <c r="J53" s="10">
        <f>J52*D19+G19+H19</f>
        <v>2143384</v>
      </c>
      <c r="K53" s="10">
        <f>D19*K52+G19+H19</f>
        <v>2171032</v>
      </c>
      <c r="L53" s="17">
        <f>D19*B18+G19+H19</f>
        <v>2253856</v>
      </c>
      <c r="M53" s="42">
        <f>B19</f>
        <v>2295000</v>
      </c>
      <c r="N53" s="16"/>
      <c r="O53" s="16"/>
      <c r="Q53" s="9" t="s">
        <v>41</v>
      </c>
      <c r="R53" s="25">
        <f t="shared" si="25"/>
        <v>174</v>
      </c>
      <c r="S53" s="25">
        <f t="shared" si="22"/>
        <v>174</v>
      </c>
      <c r="T53" s="25">
        <f t="shared" si="22"/>
        <v>174</v>
      </c>
      <c r="U53" s="25">
        <f t="shared" si="22"/>
        <v>174</v>
      </c>
      <c r="V53" s="25">
        <f t="shared" si="22"/>
        <v>174</v>
      </c>
      <c r="W53" s="25">
        <f t="shared" si="26"/>
        <v>174</v>
      </c>
      <c r="X53" s="25">
        <f t="shared" si="23"/>
        <v>174</v>
      </c>
      <c r="Y53" s="25">
        <f t="shared" si="24"/>
        <v>174</v>
      </c>
      <c r="Z53" s="25">
        <f t="shared" si="24"/>
        <v>93</v>
      </c>
      <c r="AA53" s="25">
        <f t="shared" si="24"/>
        <v>39</v>
      </c>
      <c r="AB53" s="25">
        <f>$E19</f>
        <v>12</v>
      </c>
      <c r="AC53" s="49"/>
      <c r="AD53" s="50"/>
      <c r="AE53" s="50"/>
    </row>
    <row r="54" spans="1:31">
      <c r="A54" s="9" t="s">
        <v>44</v>
      </c>
      <c r="B54" s="10">
        <f t="shared" si="14"/>
        <v>21673031</v>
      </c>
      <c r="C54" s="10">
        <f t="shared" si="15"/>
        <v>10553351</v>
      </c>
      <c r="D54" s="10">
        <f t="shared" si="16"/>
        <v>9752423</v>
      </c>
      <c r="E54" s="10">
        <f t="shared" si="17"/>
        <v>9534695</v>
      </c>
      <c r="F54" s="10">
        <f t="shared" si="18"/>
        <v>7223279</v>
      </c>
      <c r="G54" s="10">
        <f t="shared" si="19"/>
        <v>6153107</v>
      </c>
      <c r="H54" s="10">
        <f t="shared" si="20"/>
        <v>6031607</v>
      </c>
      <c r="I54" s="10">
        <f>I53*D20+G20+H20</f>
        <v>6003662</v>
      </c>
      <c r="J54" s="10">
        <f>J53*D20+G20+H20</f>
        <v>6652472</v>
      </c>
      <c r="K54" s="10">
        <f>D20*K53+G20+H20</f>
        <v>6735416</v>
      </c>
      <c r="L54" s="17">
        <f>D20*L53+G20+H20</f>
        <v>6983888</v>
      </c>
      <c r="M54" s="17">
        <f>B19*D20+G20+H20</f>
        <v>7107320</v>
      </c>
      <c r="N54" s="42">
        <f>B20</f>
        <v>7100000</v>
      </c>
      <c r="O54" s="16"/>
      <c r="Q54" s="9" t="s">
        <v>44</v>
      </c>
      <c r="R54" s="25">
        <f t="shared" si="25"/>
        <v>537</v>
      </c>
      <c r="S54" s="25">
        <f t="shared" si="22"/>
        <v>537</v>
      </c>
      <c r="T54" s="25">
        <f t="shared" si="22"/>
        <v>537</v>
      </c>
      <c r="U54" s="25">
        <f t="shared" si="22"/>
        <v>537</v>
      </c>
      <c r="V54" s="25">
        <f t="shared" si="22"/>
        <v>537</v>
      </c>
      <c r="W54" s="25">
        <f t="shared" si="26"/>
        <v>537</v>
      </c>
      <c r="X54" s="25">
        <f t="shared" si="23"/>
        <v>537</v>
      </c>
      <c r="Y54" s="25">
        <f t="shared" si="24"/>
        <v>537</v>
      </c>
      <c r="Z54" s="25">
        <f t="shared" si="24"/>
        <v>294</v>
      </c>
      <c r="AA54" s="25">
        <f t="shared" si="24"/>
        <v>132</v>
      </c>
      <c r="AB54" s="25">
        <f t="shared" si="24"/>
        <v>51</v>
      </c>
      <c r="AC54" s="25">
        <f>$E20</f>
        <v>15</v>
      </c>
      <c r="AD54" s="49"/>
      <c r="AE54" s="50"/>
    </row>
    <row r="55" spans="1:31">
      <c r="A55" s="9" t="s">
        <v>45</v>
      </c>
      <c r="B55" s="10">
        <f t="shared" si="14"/>
        <v>65448853</v>
      </c>
      <c r="C55" s="10">
        <f t="shared" si="15"/>
        <v>32089813</v>
      </c>
      <c r="D55" s="10">
        <f t="shared" si="16"/>
        <v>29687029</v>
      </c>
      <c r="E55" s="10">
        <f t="shared" si="17"/>
        <v>29033845</v>
      </c>
      <c r="F55" s="10">
        <f t="shared" si="18"/>
        <v>22099597</v>
      </c>
      <c r="G55" s="10">
        <f t="shared" si="19"/>
        <v>18889081</v>
      </c>
      <c r="H55" s="10">
        <f t="shared" si="20"/>
        <v>18524581</v>
      </c>
      <c r="I55" s="10">
        <f>I54*D21+G21+H21</f>
        <v>18440746</v>
      </c>
      <c r="J55" s="10">
        <f>J54*D21+G21+H21</f>
        <v>20387176</v>
      </c>
      <c r="K55" s="10">
        <f>D21*K54+G21+H21</f>
        <v>20636008</v>
      </c>
      <c r="L55" s="17">
        <f>D21*L54+G21+H21</f>
        <v>21381424</v>
      </c>
      <c r="M55" s="17">
        <f>D21*M54+G21+H21</f>
        <v>21751720</v>
      </c>
      <c r="N55" s="17">
        <f>B20*D21+G21+H21</f>
        <v>21729760</v>
      </c>
      <c r="O55" s="42">
        <f>B21</f>
        <v>22100000</v>
      </c>
      <c r="Q55" s="9" t="s">
        <v>45</v>
      </c>
      <c r="R55" s="25">
        <f t="shared" si="25"/>
        <v>1631</v>
      </c>
      <c r="S55" s="25">
        <f t="shared" si="22"/>
        <v>1631</v>
      </c>
      <c r="T55" s="25">
        <f t="shared" si="22"/>
        <v>1631</v>
      </c>
      <c r="U55" s="25">
        <f t="shared" si="22"/>
        <v>1631</v>
      </c>
      <c r="V55" s="25">
        <f t="shared" si="22"/>
        <v>1631</v>
      </c>
      <c r="W55" s="25">
        <f t="shared" si="26"/>
        <v>1631</v>
      </c>
      <c r="X55" s="25">
        <f t="shared" si="23"/>
        <v>1631</v>
      </c>
      <c r="Y55" s="25">
        <f t="shared" si="24"/>
        <v>1631</v>
      </c>
      <c r="Z55" s="25">
        <f t="shared" si="24"/>
        <v>902</v>
      </c>
      <c r="AA55" s="25">
        <f t="shared" si="24"/>
        <v>416</v>
      </c>
      <c r="AB55" s="25">
        <f t="shared" si="24"/>
        <v>173</v>
      </c>
      <c r="AC55" s="25">
        <f t="shared" si="24"/>
        <v>65</v>
      </c>
      <c r="AD55" s="25">
        <f>$E21</f>
        <v>20</v>
      </c>
      <c r="AE55" s="49"/>
    </row>
    <row r="57" spans="1:31">
      <c r="A57" s="142" t="s">
        <v>8</v>
      </c>
      <c r="B57" s="143"/>
      <c r="C57" s="143"/>
      <c r="D57" s="143"/>
      <c r="E57" s="143"/>
      <c r="F57" s="143"/>
      <c r="G57" s="143"/>
      <c r="H57" s="2"/>
      <c r="I57" s="2"/>
      <c r="J57" s="2"/>
      <c r="K57" s="2"/>
      <c r="L57" s="2"/>
    </row>
    <row r="58" spans="1:31" ht="12.75" customHeight="1">
      <c r="A58" s="21"/>
      <c r="B58" s="3" t="s">
        <v>48</v>
      </c>
      <c r="C58" s="3" t="s">
        <v>49</v>
      </c>
      <c r="D58" s="3" t="s">
        <v>50</v>
      </c>
      <c r="E58" s="3" t="s">
        <v>51</v>
      </c>
      <c r="F58" s="3" t="s">
        <v>63</v>
      </c>
      <c r="G58" s="3" t="s">
        <v>64</v>
      </c>
      <c r="H58" s="2"/>
      <c r="I58" s="2"/>
      <c r="J58" s="2"/>
      <c r="K58" s="2"/>
      <c r="L58" s="2"/>
    </row>
    <row r="59" spans="1:31">
      <c r="A59" s="9" t="s">
        <v>18</v>
      </c>
      <c r="B59" s="10">
        <f>C8</f>
        <v>327.25</v>
      </c>
      <c r="C59" s="10" t="s">
        <v>15</v>
      </c>
      <c r="D59" s="10" t="s">
        <v>15</v>
      </c>
      <c r="E59" s="22" t="s">
        <v>15</v>
      </c>
      <c r="F59" s="25" t="s">
        <v>15</v>
      </c>
      <c r="G59" s="10" t="s">
        <v>15</v>
      </c>
      <c r="H59" s="2"/>
      <c r="I59" s="2"/>
      <c r="J59" s="2"/>
      <c r="K59" s="2"/>
      <c r="L59" s="2"/>
    </row>
    <row r="60" spans="1:31">
      <c r="A60" s="9" t="s">
        <v>19</v>
      </c>
      <c r="B60" s="10">
        <f t="shared" ref="B60:B72" si="27">C9</f>
        <v>55.25</v>
      </c>
      <c r="C60" s="10">
        <f>MIN(B43:O43)</f>
        <v>65</v>
      </c>
      <c r="D60" s="7">
        <f>B60-C60</f>
        <v>-9.75</v>
      </c>
      <c r="E60" s="22">
        <f>D60/C60</f>
        <v>-0.15</v>
      </c>
      <c r="F60" s="26">
        <f>ROUNDDOWN($D$2/C60, 0)</f>
        <v>124615</v>
      </c>
      <c r="G60" s="27">
        <f>D60*F60</f>
        <v>-1214996.25</v>
      </c>
      <c r="H60" s="2"/>
      <c r="I60" s="2"/>
      <c r="J60" s="2"/>
      <c r="K60" s="2"/>
      <c r="L60" s="2"/>
    </row>
    <row r="61" spans="1:31">
      <c r="A61" s="9" t="s">
        <v>17</v>
      </c>
      <c r="B61" s="10">
        <f t="shared" si="27"/>
        <v>44.199999999999996</v>
      </c>
      <c r="C61" s="10">
        <f>MIN(B44:O44)</f>
        <v>52</v>
      </c>
      <c r="D61" s="7">
        <f>B61-C61</f>
        <v>-7.8000000000000043</v>
      </c>
      <c r="E61" s="22">
        <f t="shared" ref="E61:E72" si="28">D61/C61</f>
        <v>-0.15000000000000008</v>
      </c>
      <c r="F61" s="26">
        <f t="shared" ref="F61:F72" si="29">ROUNDDOWN($D$2/C61, 0)</f>
        <v>155769</v>
      </c>
      <c r="G61" s="27">
        <f t="shared" ref="G61:G72" si="30">D61*F61</f>
        <v>-1214998.2000000007</v>
      </c>
      <c r="H61" s="2"/>
      <c r="I61" s="2"/>
      <c r="J61" s="2"/>
      <c r="K61" s="2"/>
      <c r="L61" s="2"/>
    </row>
    <row r="62" spans="1:31">
      <c r="A62" s="9" t="s">
        <v>12</v>
      </c>
      <c r="B62" s="10">
        <f t="shared" si="27"/>
        <v>74.8</v>
      </c>
      <c r="C62" s="10">
        <f t="shared" ref="C62:C72" si="31">MIN(B45:O45)</f>
        <v>88</v>
      </c>
      <c r="D62" s="7">
        <f t="shared" ref="D62:D72" si="32">B62-C62</f>
        <v>-13.200000000000003</v>
      </c>
      <c r="E62" s="22">
        <f t="shared" si="28"/>
        <v>-0.15000000000000002</v>
      </c>
      <c r="F62" s="26">
        <f t="shared" si="29"/>
        <v>92045</v>
      </c>
      <c r="G62" s="27">
        <f t="shared" si="30"/>
        <v>-1214994.0000000002</v>
      </c>
      <c r="H62" s="2"/>
      <c r="I62" s="2"/>
      <c r="J62" s="2"/>
      <c r="K62" s="2"/>
      <c r="L62" s="2"/>
    </row>
    <row r="63" spans="1:31">
      <c r="A63" s="9" t="s">
        <v>11</v>
      </c>
      <c r="B63" s="10">
        <f t="shared" si="27"/>
        <v>40.799999999999997</v>
      </c>
      <c r="C63" s="10">
        <f t="shared" si="31"/>
        <v>48</v>
      </c>
      <c r="D63" s="7">
        <f t="shared" si="32"/>
        <v>-7.2000000000000028</v>
      </c>
      <c r="E63" s="22">
        <f t="shared" si="28"/>
        <v>-0.15000000000000005</v>
      </c>
      <c r="F63" s="26">
        <f t="shared" si="29"/>
        <v>168750</v>
      </c>
      <c r="G63" s="27">
        <f t="shared" si="30"/>
        <v>-1215000.0000000005</v>
      </c>
      <c r="H63" s="2"/>
      <c r="I63" s="2"/>
      <c r="J63" s="2"/>
      <c r="K63" s="2"/>
      <c r="L63" s="2"/>
    </row>
    <row r="64" spans="1:31">
      <c r="A64" s="9" t="s">
        <v>10</v>
      </c>
      <c r="B64" s="10">
        <f t="shared" si="27"/>
        <v>60.35</v>
      </c>
      <c r="C64" s="10">
        <f t="shared" si="31"/>
        <v>71</v>
      </c>
      <c r="D64" s="7">
        <f t="shared" si="32"/>
        <v>-10.649999999999999</v>
      </c>
      <c r="E64" s="22">
        <f t="shared" si="28"/>
        <v>-0.14999999999999997</v>
      </c>
      <c r="F64" s="26">
        <f t="shared" si="29"/>
        <v>114084</v>
      </c>
      <c r="G64" s="27">
        <f t="shared" si="30"/>
        <v>-1214994.5999999999</v>
      </c>
      <c r="H64" s="2"/>
      <c r="I64" s="2"/>
      <c r="J64" s="2"/>
      <c r="K64" s="2"/>
      <c r="L64" s="2"/>
    </row>
    <row r="65" spans="1:12">
      <c r="A65" s="9" t="s">
        <v>9</v>
      </c>
      <c r="B65" s="10">
        <f t="shared" si="27"/>
        <v>236.29999999999998</v>
      </c>
      <c r="C65" s="10">
        <f t="shared" si="31"/>
        <v>278</v>
      </c>
      <c r="D65" s="7">
        <f t="shared" si="32"/>
        <v>-41.700000000000017</v>
      </c>
      <c r="E65" s="22">
        <f t="shared" si="28"/>
        <v>-0.15000000000000005</v>
      </c>
      <c r="F65" s="26">
        <f t="shared" si="29"/>
        <v>29136</v>
      </c>
      <c r="G65" s="27">
        <f t="shared" si="30"/>
        <v>-1214971.2000000004</v>
      </c>
      <c r="H65" s="2"/>
      <c r="I65" s="2"/>
      <c r="J65" s="2"/>
      <c r="K65" s="2"/>
      <c r="L65" s="2"/>
    </row>
    <row r="66" spans="1:12">
      <c r="A66" s="9" t="s">
        <v>4</v>
      </c>
      <c r="B66" s="10">
        <f t="shared" si="27"/>
        <v>715.69999999999993</v>
      </c>
      <c r="C66" s="10">
        <f t="shared" si="31"/>
        <v>842</v>
      </c>
      <c r="D66" s="7">
        <f t="shared" si="32"/>
        <v>-126.30000000000007</v>
      </c>
      <c r="E66" s="22">
        <f t="shared" si="28"/>
        <v>-0.15000000000000008</v>
      </c>
      <c r="F66" s="26">
        <f t="shared" si="29"/>
        <v>9619</v>
      </c>
      <c r="G66" s="27">
        <f t="shared" si="30"/>
        <v>-1214879.7000000007</v>
      </c>
      <c r="H66" s="2"/>
      <c r="I66" s="2"/>
      <c r="J66" s="2"/>
      <c r="K66" s="2"/>
      <c r="L66" s="2"/>
    </row>
    <row r="67" spans="1:12">
      <c r="A67" s="9" t="s">
        <v>3</v>
      </c>
      <c r="B67" s="10">
        <f t="shared" si="27"/>
        <v>38250</v>
      </c>
      <c r="C67" s="10">
        <f t="shared" si="31"/>
        <v>36990</v>
      </c>
      <c r="D67" s="7">
        <f t="shared" si="32"/>
        <v>1260</v>
      </c>
      <c r="E67" s="22">
        <f t="shared" si="28"/>
        <v>3.4063260340632603E-2</v>
      </c>
      <c r="F67" s="26">
        <f t="shared" si="29"/>
        <v>218</v>
      </c>
      <c r="G67" s="27">
        <f t="shared" si="30"/>
        <v>274680</v>
      </c>
      <c r="H67" s="2"/>
      <c r="I67" s="2"/>
      <c r="J67" s="2"/>
      <c r="K67" s="2"/>
      <c r="L67" s="2"/>
    </row>
    <row r="68" spans="1:12">
      <c r="A68" s="9" t="s">
        <v>2</v>
      </c>
      <c r="B68" s="10">
        <f t="shared" si="27"/>
        <v>167450</v>
      </c>
      <c r="C68" s="10">
        <f t="shared" si="31"/>
        <v>169898</v>
      </c>
      <c r="D68" s="7">
        <f t="shared" si="32"/>
        <v>-2448</v>
      </c>
      <c r="E68" s="22">
        <f t="shared" si="28"/>
        <v>-1.4408645187112268E-2</v>
      </c>
      <c r="F68" s="26">
        <f t="shared" si="29"/>
        <v>47</v>
      </c>
      <c r="G68" s="27">
        <f t="shared" si="30"/>
        <v>-115056</v>
      </c>
      <c r="H68" s="2"/>
      <c r="I68" s="2"/>
      <c r="J68" s="2"/>
      <c r="K68" s="2"/>
      <c r="L68" s="2"/>
    </row>
    <row r="69" spans="1:12">
      <c r="A69" s="9" t="s">
        <v>1</v>
      </c>
      <c r="B69" s="10">
        <f t="shared" si="27"/>
        <v>605200</v>
      </c>
      <c r="C69" s="10">
        <f t="shared" si="31"/>
        <v>603086</v>
      </c>
      <c r="D69" s="7">
        <f t="shared" si="32"/>
        <v>2114</v>
      </c>
      <c r="E69" s="22">
        <f t="shared" si="28"/>
        <v>3.5053043844493156E-3</v>
      </c>
      <c r="F69" s="26">
        <f t="shared" si="29"/>
        <v>13</v>
      </c>
      <c r="G69" s="27">
        <f t="shared" si="30"/>
        <v>27482</v>
      </c>
      <c r="H69" s="2"/>
      <c r="I69" s="2"/>
      <c r="J69" s="2"/>
      <c r="K69" s="2"/>
      <c r="L69" s="2"/>
    </row>
    <row r="70" spans="1:12">
      <c r="A70" s="9" t="s">
        <v>41</v>
      </c>
      <c r="B70" s="10">
        <f t="shared" si="27"/>
        <v>1950750</v>
      </c>
      <c r="C70" s="10">
        <f t="shared" si="31"/>
        <v>1927114</v>
      </c>
      <c r="D70" s="7">
        <f t="shared" si="32"/>
        <v>23636</v>
      </c>
      <c r="E70" s="22">
        <f t="shared" si="28"/>
        <v>1.2264972388763716E-2</v>
      </c>
      <c r="F70" s="26">
        <f t="shared" si="29"/>
        <v>4</v>
      </c>
      <c r="G70" s="27">
        <f t="shared" si="30"/>
        <v>94544</v>
      </c>
      <c r="H70" s="2"/>
      <c r="I70" s="2"/>
      <c r="J70" s="2"/>
      <c r="K70" s="2"/>
      <c r="L70" s="2"/>
    </row>
    <row r="71" spans="1:12">
      <c r="A71" s="9" t="s">
        <v>44</v>
      </c>
      <c r="B71" s="10">
        <f t="shared" si="27"/>
        <v>6035000</v>
      </c>
      <c r="C71" s="10">
        <f t="shared" si="31"/>
        <v>6003662</v>
      </c>
      <c r="D71" s="7">
        <f t="shared" si="32"/>
        <v>31338</v>
      </c>
      <c r="E71" s="22">
        <f t="shared" si="28"/>
        <v>5.2198141734161587E-3</v>
      </c>
      <c r="F71" s="26">
        <f t="shared" si="29"/>
        <v>1</v>
      </c>
      <c r="G71" s="27">
        <f t="shared" si="30"/>
        <v>31338</v>
      </c>
      <c r="H71" s="2"/>
      <c r="I71" s="2"/>
      <c r="J71" s="2"/>
      <c r="K71" s="2"/>
      <c r="L71" s="2"/>
    </row>
    <row r="72" spans="1:12">
      <c r="A72" s="9" t="s">
        <v>45</v>
      </c>
      <c r="B72" s="10">
        <f t="shared" si="27"/>
        <v>18785000</v>
      </c>
      <c r="C72" s="10">
        <f t="shared" si="31"/>
        <v>18440746</v>
      </c>
      <c r="D72" s="7">
        <f t="shared" si="32"/>
        <v>344254</v>
      </c>
      <c r="E72" s="22">
        <f t="shared" si="28"/>
        <v>1.8668116788767657E-2</v>
      </c>
      <c r="F72" s="26">
        <f t="shared" si="29"/>
        <v>0</v>
      </c>
      <c r="G72" s="27">
        <f t="shared" si="30"/>
        <v>0</v>
      </c>
      <c r="H72" s="2"/>
      <c r="I72" s="2"/>
      <c r="J72" s="2"/>
      <c r="K72" s="2"/>
      <c r="L72" s="2"/>
    </row>
    <row r="74" spans="1:12">
      <c r="A74" s="142" t="s">
        <v>7</v>
      </c>
      <c r="B74" s="143"/>
      <c r="C74" s="143"/>
      <c r="D74" s="143"/>
      <c r="E74" s="143"/>
      <c r="F74" s="143"/>
      <c r="G74" s="143"/>
    </row>
    <row r="75" spans="1:12" ht="38.25">
      <c r="A75" s="9" t="s">
        <v>202</v>
      </c>
      <c r="B75" s="3" t="s">
        <v>201</v>
      </c>
      <c r="C75" s="3" t="s">
        <v>203</v>
      </c>
      <c r="D75" s="3" t="s">
        <v>204</v>
      </c>
      <c r="E75" s="3" t="s">
        <v>205</v>
      </c>
      <c r="F75" s="3" t="s">
        <v>206</v>
      </c>
      <c r="G75" s="3" t="s">
        <v>207</v>
      </c>
    </row>
    <row r="76" spans="1:12" ht="25.5">
      <c r="A76" s="47" t="s">
        <v>44</v>
      </c>
      <c r="B76" s="46" t="s">
        <v>4</v>
      </c>
      <c r="C76" s="48">
        <v>1</v>
      </c>
      <c r="D76" s="62">
        <f>INDEX(B25:O38,MATCH(A76,A25:A38, 0),MATCH(B76,B24:O24, 0))*C76</f>
        <v>243</v>
      </c>
      <c r="E76" s="62">
        <f>INDEX(R42:AE55,MATCH(A76, Q42:Q55, 0), MATCH(B76, R41:AE41,0))</f>
        <v>537</v>
      </c>
      <c r="F76" s="62">
        <f>INDEX(R25:AE38,MATCH(A76, Q42:Q55, 0), MATCH(B76, R41:AE41,0))</f>
        <v>0</v>
      </c>
      <c r="G76" s="62">
        <f>INDEX(R8:AE21,MATCH(A76, Q42:Q55, 0), MATCH(B76, R41:AE41,0))</f>
        <v>0</v>
      </c>
    </row>
  </sheetData>
  <sheetProtection sheet="1" objects="1" scenarios="1" selectLockedCells="1"/>
  <mergeCells count="12">
    <mergeCell ref="Q6:AE6"/>
    <mergeCell ref="A1:B1"/>
    <mergeCell ref="B6:C6"/>
    <mergeCell ref="D1:E1"/>
    <mergeCell ref="D2:E2"/>
    <mergeCell ref="D6:H6"/>
    <mergeCell ref="A57:G57"/>
    <mergeCell ref="A40:O40"/>
    <mergeCell ref="A74:G74"/>
    <mergeCell ref="A23:O23"/>
    <mergeCell ref="Q23:AE23"/>
    <mergeCell ref="Q40:AE40"/>
  </mergeCells>
  <conditionalFormatting sqref="D59:D72">
    <cfRule type="top10" dxfId="92" priority="38" rank="2"/>
  </conditionalFormatting>
  <conditionalFormatting sqref="E59:E72">
    <cfRule type="top10" dxfId="91" priority="37" rank="2"/>
  </conditionalFormatting>
  <conditionalFormatting sqref="D59:E72 F59:G59">
    <cfRule type="cellIs" dxfId="90" priority="36" operator="lessThan">
      <formula>0</formula>
    </cfRule>
  </conditionalFormatting>
  <conditionalFormatting sqref="F59">
    <cfRule type="top10" dxfId="89" priority="35" rank="2"/>
  </conditionalFormatting>
  <conditionalFormatting sqref="G59">
    <cfRule type="top10" dxfId="88" priority="33" rank="2"/>
  </conditionalFormatting>
  <conditionalFormatting sqref="G60:G72">
    <cfRule type="top10" dxfId="87" priority="30" rank="2"/>
    <cfRule type="cellIs" dxfId="86" priority="31" operator="lessThan">
      <formula>0</formula>
    </cfRule>
  </conditionalFormatting>
  <conditionalFormatting sqref="B42">
    <cfRule type="top10" dxfId="85" priority="29" bottom="1" rank="1"/>
  </conditionalFormatting>
  <conditionalFormatting sqref="B43:C43">
    <cfRule type="top10" dxfId="84" priority="28" bottom="1" rank="1"/>
  </conditionalFormatting>
  <conditionalFormatting sqref="B44:D44">
    <cfRule type="top10" dxfId="83" priority="27" bottom="1" rank="1"/>
  </conditionalFormatting>
  <conditionalFormatting sqref="B45:E45">
    <cfRule type="top10" dxfId="82" priority="26" bottom="1" rank="1"/>
  </conditionalFormatting>
  <conditionalFormatting sqref="B46:F46">
    <cfRule type="top10" dxfId="81" priority="25" bottom="1" rank="1"/>
  </conditionalFormatting>
  <conditionalFormatting sqref="B47:G47">
    <cfRule type="top10" dxfId="80" priority="24" bottom="1" rank="1"/>
  </conditionalFormatting>
  <conditionalFormatting sqref="B48:H48">
    <cfRule type="top10" dxfId="79" priority="23" bottom="1" rank="1"/>
  </conditionalFormatting>
  <conditionalFormatting sqref="B49:I49">
    <cfRule type="top10" dxfId="78" priority="22" bottom="1" rank="1"/>
  </conditionalFormatting>
  <conditionalFormatting sqref="B50:J50">
    <cfRule type="top10" dxfId="77" priority="21" bottom="1" rank="1"/>
  </conditionalFormatting>
  <conditionalFormatting sqref="B51:K51">
    <cfRule type="top10" dxfId="76" priority="20" bottom="1" rank="1"/>
  </conditionalFormatting>
  <conditionalFormatting sqref="B52:L52">
    <cfRule type="top10" dxfId="75" priority="18" bottom="1" rank="1"/>
  </conditionalFormatting>
  <conditionalFormatting sqref="B53:M53">
    <cfRule type="top10" dxfId="74" priority="17" bottom="1" rank="1"/>
  </conditionalFormatting>
  <conditionalFormatting sqref="B54:N54">
    <cfRule type="top10" dxfId="73" priority="16" bottom="1" rank="1"/>
  </conditionalFormatting>
  <conditionalFormatting sqref="B55:O55">
    <cfRule type="top10" dxfId="72" priority="15" bottom="1" rank="1"/>
  </conditionalFormatting>
  <dataValidations count="3">
    <dataValidation type="list" allowBlank="1" showInputMessage="1" showErrorMessage="1" prompt="Choose the product gem you want to sell" sqref="A76">
      <formula1>$A$8:$A$21</formula1>
    </dataValidation>
    <dataValidation allowBlank="1" showInputMessage="1" showErrorMessage="1" prompt="Input the # of product gems you want to craft" sqref="C76"/>
    <dataValidation type="list" allowBlank="1" showInputMessage="1" showErrorMessage="1" prompt="Choose the raw gem you will buy to craft the product" sqref="B76">
      <formula1>$A$8:$A$21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O69"/>
  <sheetViews>
    <sheetView topLeftCell="A4" zoomScaleNormal="100" workbookViewId="0">
      <selection activeCell="B14" sqref="B14"/>
    </sheetView>
  </sheetViews>
  <sheetFormatPr defaultColWidth="11.7109375" defaultRowHeight="12.75"/>
  <cols>
    <col min="1" max="1" width="21.5703125" style="1" customWidth="1"/>
    <col min="2" max="2" width="12.28515625" style="1" customWidth="1"/>
    <col min="3" max="3" width="13.42578125" style="1" bestFit="1" customWidth="1"/>
    <col min="4" max="4" width="13.85546875" style="1" customWidth="1"/>
    <col min="5" max="5" width="12.5703125" style="1" bestFit="1" customWidth="1"/>
    <col min="6" max="10" width="12.28515625" style="1" customWidth="1"/>
    <col min="11" max="11" width="13.42578125" style="1" bestFit="1" customWidth="1"/>
    <col min="12" max="12" width="12.28515625" style="1" customWidth="1"/>
    <col min="13" max="13" width="12.28515625" style="2" customWidth="1"/>
    <col min="14" max="14" width="11.7109375" style="2"/>
    <col min="15" max="15" width="12.140625" style="2" customWidth="1"/>
    <col min="16" max="16384" width="11.7109375" style="2"/>
  </cols>
  <sheetData>
    <row r="1" spans="1:12">
      <c r="A1" s="145" t="s">
        <v>43</v>
      </c>
      <c r="B1" s="145"/>
      <c r="D1" s="147" t="s">
        <v>60</v>
      </c>
      <c r="E1" s="147"/>
    </row>
    <row r="2" spans="1:12">
      <c r="A2" s="13" t="s">
        <v>23</v>
      </c>
      <c r="B2" s="45">
        <v>1006</v>
      </c>
      <c r="D2" s="148">
        <v>8100000</v>
      </c>
      <c r="E2" s="148"/>
    </row>
    <row r="3" spans="1:12">
      <c r="A3" s="13" t="s">
        <v>24</v>
      </c>
      <c r="B3" s="45">
        <v>301</v>
      </c>
      <c r="F3" s="12"/>
    </row>
    <row r="4" spans="1:12">
      <c r="A4" s="13" t="s">
        <v>5</v>
      </c>
      <c r="B4" s="45">
        <v>1488</v>
      </c>
      <c r="F4" s="12"/>
    </row>
    <row r="5" spans="1:12">
      <c r="F5" s="12"/>
      <c r="G5" s="15"/>
      <c r="K5" s="2"/>
      <c r="L5" s="2"/>
    </row>
    <row r="6" spans="1:12" customFormat="1" ht="15">
      <c r="A6" s="20"/>
      <c r="B6" s="151" t="s">
        <v>6</v>
      </c>
      <c r="C6" s="152"/>
      <c r="D6" s="153" t="s">
        <v>16</v>
      </c>
      <c r="E6" s="153"/>
      <c r="F6" s="153"/>
      <c r="G6" s="153"/>
    </row>
    <row r="7" spans="1:12" customFormat="1" ht="15">
      <c r="A7" s="3" t="s">
        <v>0</v>
      </c>
      <c r="B7" s="28" t="s">
        <v>35</v>
      </c>
      <c r="C7" s="28" t="s">
        <v>39</v>
      </c>
      <c r="D7" s="3" t="s">
        <v>13</v>
      </c>
      <c r="E7" s="3" t="s">
        <v>27</v>
      </c>
      <c r="F7" s="3" t="s">
        <v>28</v>
      </c>
      <c r="G7" s="3" t="s">
        <v>14</v>
      </c>
    </row>
    <row r="8" spans="1:12" customFormat="1" ht="15">
      <c r="A8" s="4" t="s">
        <v>18</v>
      </c>
      <c r="B8" s="44">
        <v>341</v>
      </c>
      <c r="C8" s="14">
        <f>B8*0.85</f>
        <v>289.84999999999997</v>
      </c>
      <c r="D8" s="6" t="s">
        <v>15</v>
      </c>
      <c r="E8" s="6" t="s">
        <v>15</v>
      </c>
      <c r="F8" s="10" t="s">
        <v>15</v>
      </c>
      <c r="G8" s="10" t="s">
        <v>15</v>
      </c>
    </row>
    <row r="9" spans="1:12" customFormat="1" ht="15">
      <c r="A9" s="4" t="s">
        <v>19</v>
      </c>
      <c r="B9" s="44">
        <v>294</v>
      </c>
      <c r="C9" s="14">
        <f t="shared" ref="C9:C21" si="0">B9*0.85</f>
        <v>249.9</v>
      </c>
      <c r="D9" s="6">
        <v>2</v>
      </c>
      <c r="E9" s="6" t="s">
        <v>15</v>
      </c>
      <c r="F9" s="10">
        <v>0</v>
      </c>
      <c r="G9" s="10">
        <v>10</v>
      </c>
    </row>
    <row r="10" spans="1:12" customFormat="1" ht="15">
      <c r="A10" s="4" t="s">
        <v>17</v>
      </c>
      <c r="B10" s="44">
        <v>420</v>
      </c>
      <c r="C10" s="14">
        <f t="shared" si="0"/>
        <v>357</v>
      </c>
      <c r="D10" s="6">
        <v>2</v>
      </c>
      <c r="E10" s="6" t="s">
        <v>15</v>
      </c>
      <c r="F10" s="10">
        <v>0</v>
      </c>
      <c r="G10" s="10">
        <v>25</v>
      </c>
    </row>
    <row r="11" spans="1:12" customFormat="1" ht="15">
      <c r="A11" s="4" t="s">
        <v>12</v>
      </c>
      <c r="B11" s="44">
        <v>521</v>
      </c>
      <c r="C11" s="14">
        <f t="shared" si="0"/>
        <v>442.84999999999997</v>
      </c>
      <c r="D11" s="6">
        <v>2</v>
      </c>
      <c r="E11" s="6" t="s">
        <v>15</v>
      </c>
      <c r="F11" s="10">
        <v>0</v>
      </c>
      <c r="G11" s="10">
        <v>40</v>
      </c>
    </row>
    <row r="12" spans="1:12" customFormat="1" ht="15">
      <c r="A12" s="4" t="s">
        <v>11</v>
      </c>
      <c r="B12" s="44">
        <v>762</v>
      </c>
      <c r="C12" s="14">
        <f t="shared" si="0"/>
        <v>647.69999999999993</v>
      </c>
      <c r="D12" s="6">
        <v>2</v>
      </c>
      <c r="E12" s="6" t="s">
        <v>29</v>
      </c>
      <c r="F12" s="10">
        <f>B2</f>
        <v>1006</v>
      </c>
      <c r="G12" s="10">
        <v>55</v>
      </c>
    </row>
    <row r="13" spans="1:12" customFormat="1" ht="15">
      <c r="A13" s="4" t="s">
        <v>10</v>
      </c>
      <c r="B13" s="44">
        <v>1675</v>
      </c>
      <c r="C13" s="14">
        <f t="shared" si="0"/>
        <v>1423.75</v>
      </c>
      <c r="D13" s="6">
        <v>2</v>
      </c>
      <c r="E13" s="6" t="s">
        <v>29</v>
      </c>
      <c r="F13" s="10">
        <f>B2</f>
        <v>1006</v>
      </c>
      <c r="G13" s="10">
        <v>70</v>
      </c>
    </row>
    <row r="14" spans="1:12" customFormat="1" ht="15">
      <c r="A14" s="4" t="s">
        <v>9</v>
      </c>
      <c r="B14" s="44">
        <v>4528</v>
      </c>
      <c r="C14" s="14">
        <f t="shared" si="0"/>
        <v>3848.7999999999997</v>
      </c>
      <c r="D14" s="6">
        <v>2</v>
      </c>
      <c r="E14" s="6" t="s">
        <v>30</v>
      </c>
      <c r="F14" s="10">
        <f>B3</f>
        <v>301</v>
      </c>
      <c r="G14" s="10">
        <v>85</v>
      </c>
      <c r="H14" s="24">
        <f>G14</f>
        <v>85</v>
      </c>
    </row>
    <row r="15" spans="1:12" customFormat="1" ht="15">
      <c r="A15" s="4" t="s">
        <v>4</v>
      </c>
      <c r="B15" s="44">
        <v>10000</v>
      </c>
      <c r="C15" s="14">
        <f t="shared" si="0"/>
        <v>8500</v>
      </c>
      <c r="D15" s="6">
        <v>2</v>
      </c>
      <c r="E15" s="6" t="s">
        <v>30</v>
      </c>
      <c r="F15" s="10">
        <f>B3</f>
        <v>301</v>
      </c>
      <c r="G15" s="10">
        <v>100</v>
      </c>
      <c r="H15" s="24">
        <f>G15+H14*D14</f>
        <v>270</v>
      </c>
    </row>
    <row r="16" spans="1:12" customFormat="1" ht="15">
      <c r="A16" s="4" t="s">
        <v>3</v>
      </c>
      <c r="B16" s="44">
        <v>75000</v>
      </c>
      <c r="C16" s="14">
        <f t="shared" si="0"/>
        <v>63750</v>
      </c>
      <c r="D16" s="6">
        <v>3</v>
      </c>
      <c r="E16" s="6" t="s">
        <v>31</v>
      </c>
      <c r="F16" s="10">
        <f>3*B4</f>
        <v>4464</v>
      </c>
      <c r="G16" s="10">
        <v>30000</v>
      </c>
      <c r="H16" s="24">
        <f>G16+H15*D15</f>
        <v>30540</v>
      </c>
      <c r="I16" s="24"/>
    </row>
    <row r="17" spans="1:15" customFormat="1" ht="15">
      <c r="A17" s="4" t="s">
        <v>2</v>
      </c>
      <c r="B17" s="44">
        <v>303000</v>
      </c>
      <c r="C17" s="14">
        <f t="shared" si="0"/>
        <v>257550</v>
      </c>
      <c r="D17" s="6">
        <v>3</v>
      </c>
      <c r="E17" s="6" t="s">
        <v>32</v>
      </c>
      <c r="F17" s="10">
        <f>6*B4</f>
        <v>8928</v>
      </c>
      <c r="G17" s="10">
        <v>50000</v>
      </c>
      <c r="H17" s="24">
        <f>G17+H16*D16</f>
        <v>141620</v>
      </c>
      <c r="I17" s="24"/>
    </row>
    <row r="18" spans="1:15" customFormat="1" ht="15">
      <c r="A18" s="4" t="s">
        <v>1</v>
      </c>
      <c r="B18" s="44">
        <v>1044000</v>
      </c>
      <c r="C18" s="14">
        <f t="shared" si="0"/>
        <v>887400</v>
      </c>
      <c r="D18" s="6">
        <v>3</v>
      </c>
      <c r="E18" s="6" t="s">
        <v>33</v>
      </c>
      <c r="F18" s="10">
        <f>9*B4</f>
        <v>13392</v>
      </c>
      <c r="G18" s="10">
        <v>80000</v>
      </c>
      <c r="H18" s="24">
        <f t="shared" ref="H18:H21" si="1">G18+H17*D17</f>
        <v>504860</v>
      </c>
      <c r="I18" s="24"/>
    </row>
    <row r="19" spans="1:15" customFormat="1" ht="15">
      <c r="A19" s="4" t="s">
        <v>41</v>
      </c>
      <c r="B19" s="44">
        <v>3292000</v>
      </c>
      <c r="C19" s="14">
        <f t="shared" si="0"/>
        <v>2798200</v>
      </c>
      <c r="D19" s="6">
        <v>3</v>
      </c>
      <c r="E19" s="6" t="s">
        <v>42</v>
      </c>
      <c r="F19" s="10">
        <f>12*B4</f>
        <v>17856</v>
      </c>
      <c r="G19" s="10">
        <v>100000</v>
      </c>
      <c r="H19" s="24">
        <f t="shared" si="1"/>
        <v>1614580</v>
      </c>
    </row>
    <row r="20" spans="1:15" customFormat="1" ht="15">
      <c r="A20" s="4" t="s">
        <v>44</v>
      </c>
      <c r="B20" s="44">
        <v>10405000</v>
      </c>
      <c r="C20" s="14">
        <f t="shared" si="0"/>
        <v>8844250</v>
      </c>
      <c r="D20" s="6">
        <v>3</v>
      </c>
      <c r="E20" s="6" t="s">
        <v>47</v>
      </c>
      <c r="F20" s="10">
        <f>15*B4</f>
        <v>22320</v>
      </c>
      <c r="G20" s="10">
        <v>200000</v>
      </c>
      <c r="H20" s="24">
        <f t="shared" si="1"/>
        <v>5043740</v>
      </c>
    </row>
    <row r="21" spans="1:15" customFormat="1" ht="15">
      <c r="A21" s="4" t="s">
        <v>45</v>
      </c>
      <c r="B21" s="44">
        <v>315202000</v>
      </c>
      <c r="C21" s="14">
        <f t="shared" si="0"/>
        <v>267921700</v>
      </c>
      <c r="D21" s="6">
        <v>3</v>
      </c>
      <c r="E21" s="6" t="s">
        <v>46</v>
      </c>
      <c r="F21" s="10">
        <f>20*B4</f>
        <v>29760</v>
      </c>
      <c r="G21" s="10">
        <v>400000</v>
      </c>
      <c r="H21" s="24">
        <f t="shared" si="1"/>
        <v>15531220</v>
      </c>
    </row>
    <row r="23" spans="1:15" ht="12.75" customHeight="1">
      <c r="A23" s="150" t="s">
        <v>55</v>
      </c>
      <c r="B23" s="150"/>
      <c r="C23" s="150"/>
      <c r="D23" s="150"/>
      <c r="E23" s="150"/>
      <c r="F23" s="150"/>
      <c r="G23" s="150"/>
      <c r="H23" s="150"/>
      <c r="I23" s="150"/>
      <c r="J23" s="150"/>
      <c r="K23" s="150"/>
      <c r="L23" s="150"/>
      <c r="M23" s="150"/>
      <c r="N23" s="150"/>
      <c r="O23" s="150"/>
    </row>
    <row r="24" spans="1:15" s="5" customFormat="1" ht="25.5">
      <c r="A24" s="8" t="s">
        <v>20</v>
      </c>
      <c r="B24" s="3" t="s">
        <v>18</v>
      </c>
      <c r="C24" s="3" t="s">
        <v>19</v>
      </c>
      <c r="D24" s="3" t="s">
        <v>17</v>
      </c>
      <c r="E24" s="3" t="s">
        <v>12</v>
      </c>
      <c r="F24" s="3" t="s">
        <v>11</v>
      </c>
      <c r="G24" s="3" t="s">
        <v>10</v>
      </c>
      <c r="H24" s="3" t="s">
        <v>9</v>
      </c>
      <c r="I24" s="3" t="s">
        <v>4</v>
      </c>
      <c r="J24" s="3" t="s">
        <v>3</v>
      </c>
      <c r="K24" s="3" t="s">
        <v>2</v>
      </c>
      <c r="L24" s="3" t="s">
        <v>1</v>
      </c>
      <c r="M24" s="3" t="s">
        <v>41</v>
      </c>
      <c r="N24" s="3" t="s">
        <v>44</v>
      </c>
      <c r="O24" s="3" t="s">
        <v>45</v>
      </c>
    </row>
    <row r="25" spans="1:15" ht="12.75" customHeight="1">
      <c r="A25" s="9" t="s">
        <v>18</v>
      </c>
      <c r="B25" s="40">
        <f>B8</f>
        <v>341</v>
      </c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6"/>
      <c r="O25" s="16"/>
    </row>
    <row r="26" spans="1:15" ht="12.75" customHeight="1">
      <c r="A26" s="9" t="s">
        <v>19</v>
      </c>
      <c r="B26" s="10">
        <f>D9*B8+G9+F9</f>
        <v>692</v>
      </c>
      <c r="C26" s="40">
        <f>B9</f>
        <v>294</v>
      </c>
      <c r="D26" s="19"/>
      <c r="E26" s="31"/>
      <c r="F26" s="32"/>
      <c r="G26" s="32"/>
      <c r="H26" s="32"/>
      <c r="I26" s="32"/>
      <c r="J26" s="32"/>
      <c r="K26" s="32"/>
      <c r="L26" s="32"/>
      <c r="M26" s="32"/>
      <c r="N26" s="33"/>
      <c r="O26" s="16"/>
    </row>
    <row r="27" spans="1:15">
      <c r="A27" s="9" t="s">
        <v>17</v>
      </c>
      <c r="B27" s="10">
        <f t="shared" ref="B27:B38" si="2">D10*B26+G10+F10</f>
        <v>1409</v>
      </c>
      <c r="C27" s="10">
        <f>D10*B9+G10+F10</f>
        <v>613</v>
      </c>
      <c r="D27" s="39">
        <f>B10</f>
        <v>420</v>
      </c>
      <c r="E27" s="34"/>
      <c r="F27" s="35"/>
      <c r="G27" s="35"/>
      <c r="H27" s="35"/>
      <c r="I27" s="35"/>
      <c r="J27" s="35"/>
      <c r="K27" s="35"/>
      <c r="L27" s="35"/>
      <c r="M27" s="35"/>
      <c r="N27" s="36"/>
      <c r="O27" s="16"/>
    </row>
    <row r="28" spans="1:15">
      <c r="A28" s="9" t="s">
        <v>12</v>
      </c>
      <c r="B28" s="10">
        <f t="shared" si="2"/>
        <v>2858</v>
      </c>
      <c r="C28" s="10">
        <f t="shared" ref="C28:C38" si="3">D11*C27+G11+F11</f>
        <v>1266</v>
      </c>
      <c r="D28" s="10">
        <f>D11*B10+G11+F11</f>
        <v>880</v>
      </c>
      <c r="E28" s="41">
        <f>B11</f>
        <v>521</v>
      </c>
      <c r="F28" s="37"/>
      <c r="G28" s="37"/>
      <c r="H28" s="37"/>
      <c r="I28" s="37"/>
      <c r="J28" s="37"/>
      <c r="K28" s="37"/>
      <c r="L28" s="37"/>
      <c r="M28" s="37"/>
      <c r="N28" s="38"/>
      <c r="O28" s="16"/>
    </row>
    <row r="29" spans="1:15" ht="12.75" customHeight="1">
      <c r="A29" s="9" t="s">
        <v>11</v>
      </c>
      <c r="B29" s="10">
        <f t="shared" si="2"/>
        <v>6777</v>
      </c>
      <c r="C29" s="10">
        <f t="shared" si="3"/>
        <v>3593</v>
      </c>
      <c r="D29" s="10">
        <f t="shared" ref="D29:D38" si="4">D12*D28+G12+F12</f>
        <v>2821</v>
      </c>
      <c r="E29" s="10">
        <f>D12*B11+G12+F12</f>
        <v>2103</v>
      </c>
      <c r="F29" s="39">
        <f>B12</f>
        <v>762</v>
      </c>
      <c r="G29" s="19"/>
      <c r="H29" s="18"/>
      <c r="I29" s="18"/>
      <c r="J29" s="18"/>
      <c r="K29" s="18"/>
      <c r="L29" s="18"/>
      <c r="M29" s="16"/>
      <c r="N29" s="16"/>
      <c r="O29" s="16"/>
    </row>
    <row r="30" spans="1:15">
      <c r="A30" s="9" t="s">
        <v>10</v>
      </c>
      <c r="B30" s="10">
        <f t="shared" si="2"/>
        <v>14630</v>
      </c>
      <c r="C30" s="10">
        <f t="shared" si="3"/>
        <v>8262</v>
      </c>
      <c r="D30" s="10">
        <f t="shared" si="4"/>
        <v>6718</v>
      </c>
      <c r="E30" s="10">
        <f t="shared" ref="E30:E38" si="5">D13*E29+F13+G13</f>
        <v>5282</v>
      </c>
      <c r="F30" s="10">
        <f>D13*B12+F13+G13</f>
        <v>2600</v>
      </c>
      <c r="G30" s="40">
        <f>B13</f>
        <v>1675</v>
      </c>
      <c r="H30" s="19"/>
      <c r="I30" s="19"/>
      <c r="J30" s="19"/>
      <c r="K30" s="19"/>
      <c r="L30" s="19"/>
      <c r="M30" s="16"/>
      <c r="N30" s="16"/>
      <c r="O30" s="16"/>
    </row>
    <row r="31" spans="1:15">
      <c r="A31" s="9" t="s">
        <v>9</v>
      </c>
      <c r="B31" s="10">
        <f t="shared" si="2"/>
        <v>29646</v>
      </c>
      <c r="C31" s="10">
        <f t="shared" si="3"/>
        <v>16910</v>
      </c>
      <c r="D31" s="10">
        <f t="shared" si="4"/>
        <v>13822</v>
      </c>
      <c r="E31" s="10">
        <f t="shared" si="5"/>
        <v>10950</v>
      </c>
      <c r="F31" s="10">
        <f t="shared" ref="F31:F38" si="6">D14*F30+F14+G14</f>
        <v>5586</v>
      </c>
      <c r="G31" s="10">
        <f>D14*B13+F14+G14</f>
        <v>3736</v>
      </c>
      <c r="H31" s="39">
        <f>B14</f>
        <v>4528</v>
      </c>
      <c r="I31" s="11"/>
      <c r="J31" s="11"/>
      <c r="K31" s="11"/>
      <c r="L31" s="11"/>
      <c r="M31" s="16"/>
      <c r="N31" s="16"/>
      <c r="O31" s="16"/>
    </row>
    <row r="32" spans="1:15">
      <c r="A32" s="9" t="s">
        <v>4</v>
      </c>
      <c r="B32" s="10">
        <f t="shared" si="2"/>
        <v>59693</v>
      </c>
      <c r="C32" s="10">
        <f t="shared" si="3"/>
        <v>34221</v>
      </c>
      <c r="D32" s="10">
        <f t="shared" si="4"/>
        <v>28045</v>
      </c>
      <c r="E32" s="10">
        <f t="shared" si="5"/>
        <v>22301</v>
      </c>
      <c r="F32" s="10">
        <f t="shared" si="6"/>
        <v>11573</v>
      </c>
      <c r="G32" s="10">
        <f t="shared" ref="G32:G38" si="7">D15*G31+F15+G15</f>
        <v>7873</v>
      </c>
      <c r="H32" s="10">
        <f>D15*B14+F15+G15</f>
        <v>9457</v>
      </c>
      <c r="I32" s="39">
        <f>B15</f>
        <v>10000</v>
      </c>
      <c r="J32" s="11"/>
      <c r="K32" s="11"/>
      <c r="L32" s="11"/>
      <c r="M32" s="16"/>
      <c r="N32" s="16"/>
      <c r="O32" s="16"/>
    </row>
    <row r="33" spans="1:15">
      <c r="A33" s="9" t="s">
        <v>3</v>
      </c>
      <c r="B33" s="10">
        <f t="shared" si="2"/>
        <v>213543</v>
      </c>
      <c r="C33" s="10">
        <f t="shared" si="3"/>
        <v>137127</v>
      </c>
      <c r="D33" s="10">
        <f t="shared" si="4"/>
        <v>118599</v>
      </c>
      <c r="E33" s="10">
        <f t="shared" si="5"/>
        <v>101367</v>
      </c>
      <c r="F33" s="10">
        <f t="shared" si="6"/>
        <v>69183</v>
      </c>
      <c r="G33" s="10">
        <f t="shared" si="7"/>
        <v>58083</v>
      </c>
      <c r="H33" s="10">
        <f t="shared" ref="H33:H38" si="8">H32*D16+F16+G16</f>
        <v>62835</v>
      </c>
      <c r="I33" s="10">
        <f>D16*B15+F16+G16</f>
        <v>64464</v>
      </c>
      <c r="J33" s="39">
        <f>B16</f>
        <v>75000</v>
      </c>
      <c r="K33" s="11"/>
      <c r="L33" s="11"/>
      <c r="M33" s="16"/>
      <c r="N33" s="16"/>
      <c r="O33" s="16"/>
    </row>
    <row r="34" spans="1:15">
      <c r="A34" s="9" t="s">
        <v>2</v>
      </c>
      <c r="B34" s="10">
        <f t="shared" si="2"/>
        <v>699557</v>
      </c>
      <c r="C34" s="10">
        <f t="shared" si="3"/>
        <v>470309</v>
      </c>
      <c r="D34" s="10">
        <f t="shared" si="4"/>
        <v>414725</v>
      </c>
      <c r="E34" s="10">
        <f t="shared" si="5"/>
        <v>363029</v>
      </c>
      <c r="F34" s="10">
        <f t="shared" si="6"/>
        <v>266477</v>
      </c>
      <c r="G34" s="10">
        <f t="shared" si="7"/>
        <v>233177</v>
      </c>
      <c r="H34" s="10">
        <f t="shared" si="8"/>
        <v>247433</v>
      </c>
      <c r="I34" s="10">
        <f>I33*D17+F17+G17</f>
        <v>252320</v>
      </c>
      <c r="J34" s="10">
        <f>D17*B16+F17+G17</f>
        <v>283928</v>
      </c>
      <c r="K34" s="39">
        <f>B17</f>
        <v>303000</v>
      </c>
      <c r="L34" s="11"/>
      <c r="M34" s="16"/>
      <c r="N34" s="16"/>
      <c r="O34" s="16"/>
    </row>
    <row r="35" spans="1:15">
      <c r="A35" s="9" t="s">
        <v>1</v>
      </c>
      <c r="B35" s="10">
        <f t="shared" si="2"/>
        <v>2192063</v>
      </c>
      <c r="C35" s="10">
        <f t="shared" si="3"/>
        <v>1504319</v>
      </c>
      <c r="D35" s="10">
        <f t="shared" si="4"/>
        <v>1337567</v>
      </c>
      <c r="E35" s="10">
        <f t="shared" si="5"/>
        <v>1182479</v>
      </c>
      <c r="F35" s="10">
        <f t="shared" si="6"/>
        <v>892823</v>
      </c>
      <c r="G35" s="10">
        <f t="shared" si="7"/>
        <v>792923</v>
      </c>
      <c r="H35" s="10">
        <f t="shared" si="8"/>
        <v>835691</v>
      </c>
      <c r="I35" s="10">
        <f>I34*D18+F18+G18</f>
        <v>850352</v>
      </c>
      <c r="J35" s="10">
        <f>J34*D18+F18+G18</f>
        <v>945176</v>
      </c>
      <c r="K35" s="10">
        <f>D18*B17+F18+G18</f>
        <v>1002392</v>
      </c>
      <c r="L35" s="39">
        <f>B18</f>
        <v>1044000</v>
      </c>
      <c r="M35" s="16"/>
      <c r="N35" s="16"/>
      <c r="O35" s="16"/>
    </row>
    <row r="36" spans="1:15">
      <c r="A36" s="9" t="s">
        <v>41</v>
      </c>
      <c r="B36" s="10">
        <f t="shared" si="2"/>
        <v>6694045</v>
      </c>
      <c r="C36" s="10">
        <f t="shared" si="3"/>
        <v>4630813</v>
      </c>
      <c r="D36" s="10">
        <f t="shared" si="4"/>
        <v>4130557</v>
      </c>
      <c r="E36" s="10">
        <f t="shared" si="5"/>
        <v>3665293</v>
      </c>
      <c r="F36" s="10">
        <f t="shared" si="6"/>
        <v>2796325</v>
      </c>
      <c r="G36" s="10">
        <f t="shared" si="7"/>
        <v>2496625</v>
      </c>
      <c r="H36" s="10">
        <f t="shared" si="8"/>
        <v>2624929</v>
      </c>
      <c r="I36" s="10">
        <f>I35*D19+F19+G19</f>
        <v>2668912</v>
      </c>
      <c r="J36" s="10">
        <f>J35*D19+F19+G19</f>
        <v>2953384</v>
      </c>
      <c r="K36" s="10">
        <f>D19*K35+F19+G19</f>
        <v>3125032</v>
      </c>
      <c r="L36" s="17">
        <f>D19*B18+F19+G19</f>
        <v>3249856</v>
      </c>
      <c r="M36" s="42">
        <f>B19</f>
        <v>3292000</v>
      </c>
      <c r="N36" s="16"/>
      <c r="O36" s="16"/>
    </row>
    <row r="37" spans="1:15">
      <c r="A37" s="9" t="s">
        <v>44</v>
      </c>
      <c r="B37" s="10">
        <f t="shared" si="2"/>
        <v>20304455</v>
      </c>
      <c r="C37" s="10">
        <f t="shared" si="3"/>
        <v>14114759</v>
      </c>
      <c r="D37" s="10">
        <f t="shared" si="4"/>
        <v>12613991</v>
      </c>
      <c r="E37" s="10">
        <f t="shared" si="5"/>
        <v>11218199</v>
      </c>
      <c r="F37" s="10">
        <f t="shared" si="6"/>
        <v>8611295</v>
      </c>
      <c r="G37" s="10">
        <f t="shared" si="7"/>
        <v>7712195</v>
      </c>
      <c r="H37" s="10">
        <f t="shared" si="8"/>
        <v>8097107</v>
      </c>
      <c r="I37" s="10">
        <f>I36*D20+F20+G20</f>
        <v>8229056</v>
      </c>
      <c r="J37" s="10">
        <f>J36*D20+F20+G20</f>
        <v>9082472</v>
      </c>
      <c r="K37" s="10">
        <f>D20*K36+F20+G20</f>
        <v>9597416</v>
      </c>
      <c r="L37" s="17">
        <f>D20*L36+F20+G20</f>
        <v>9971888</v>
      </c>
      <c r="M37" s="17">
        <f>B19*D20+F20+G20</f>
        <v>10098320</v>
      </c>
      <c r="N37" s="42">
        <f>B20</f>
        <v>10405000</v>
      </c>
      <c r="O37" s="16"/>
    </row>
    <row r="38" spans="1:15">
      <c r="A38" s="9" t="s">
        <v>45</v>
      </c>
      <c r="B38" s="10">
        <f t="shared" si="2"/>
        <v>61343125</v>
      </c>
      <c r="C38" s="10">
        <f t="shared" si="3"/>
        <v>42774037</v>
      </c>
      <c r="D38" s="10">
        <f t="shared" si="4"/>
        <v>38271733</v>
      </c>
      <c r="E38" s="10">
        <f t="shared" si="5"/>
        <v>34084357</v>
      </c>
      <c r="F38" s="10">
        <f t="shared" si="6"/>
        <v>26263645</v>
      </c>
      <c r="G38" s="10">
        <f t="shared" si="7"/>
        <v>23566345</v>
      </c>
      <c r="H38" s="10">
        <f t="shared" si="8"/>
        <v>24721081</v>
      </c>
      <c r="I38" s="10">
        <f>I37*D21+F21+G21</f>
        <v>25116928</v>
      </c>
      <c r="J38" s="10">
        <f>J37*D21+F21+G21</f>
        <v>27677176</v>
      </c>
      <c r="K38" s="10">
        <f>D21*K37+F21+G21</f>
        <v>29222008</v>
      </c>
      <c r="L38" s="17">
        <f>D21*L37+F21+G21</f>
        <v>30345424</v>
      </c>
      <c r="M38" s="17">
        <f>D21*M37+F21+G21</f>
        <v>30724720</v>
      </c>
      <c r="N38" s="17">
        <f>B20*D21+F21+G21</f>
        <v>31644760</v>
      </c>
      <c r="O38" s="42">
        <f>B21</f>
        <v>315202000</v>
      </c>
    </row>
    <row r="40" spans="1:15" ht="12.75" customHeight="1">
      <c r="A40" s="154" t="s">
        <v>56</v>
      </c>
      <c r="B40" s="155"/>
      <c r="C40" s="155"/>
      <c r="D40" s="155"/>
      <c r="E40" s="155"/>
      <c r="F40" s="155"/>
      <c r="G40" s="155"/>
      <c r="H40" s="2"/>
      <c r="I40" s="2"/>
      <c r="J40" s="2"/>
      <c r="K40" s="2"/>
      <c r="L40" s="2"/>
    </row>
    <row r="41" spans="1:15" ht="25.5">
      <c r="A41" s="21"/>
      <c r="B41" s="3" t="s">
        <v>48</v>
      </c>
      <c r="C41" s="3" t="s">
        <v>49</v>
      </c>
      <c r="D41" s="3" t="s">
        <v>50</v>
      </c>
      <c r="E41" s="3" t="s">
        <v>51</v>
      </c>
      <c r="F41" s="3" t="s">
        <v>63</v>
      </c>
      <c r="G41" s="3" t="s">
        <v>64</v>
      </c>
      <c r="H41" s="2"/>
      <c r="I41" s="2"/>
      <c r="J41" s="2"/>
      <c r="K41" s="2"/>
      <c r="L41" s="2"/>
    </row>
    <row r="42" spans="1:15">
      <c r="A42" s="9" t="s">
        <v>18</v>
      </c>
      <c r="B42" s="10">
        <f>C8</f>
        <v>289.84999999999997</v>
      </c>
      <c r="C42" s="10" t="s">
        <v>15</v>
      </c>
      <c r="D42" s="10" t="s">
        <v>15</v>
      </c>
      <c r="E42" s="22" t="s">
        <v>15</v>
      </c>
      <c r="F42" s="25" t="s">
        <v>15</v>
      </c>
      <c r="G42" s="10" t="s">
        <v>15</v>
      </c>
      <c r="H42" s="2"/>
      <c r="I42" s="2"/>
      <c r="J42" s="2"/>
      <c r="K42" s="2"/>
      <c r="L42" s="2"/>
    </row>
    <row r="43" spans="1:15">
      <c r="A43" s="9" t="s">
        <v>19</v>
      </c>
      <c r="B43" s="10">
        <f t="shared" ref="B43:B55" si="9">C9</f>
        <v>249.9</v>
      </c>
      <c r="C43" s="10">
        <f>MIN(26:26)</f>
        <v>294</v>
      </c>
      <c r="D43" s="7">
        <f>B43-C43</f>
        <v>-44.099999999999994</v>
      </c>
      <c r="E43" s="22">
        <f>D43/C43</f>
        <v>-0.15</v>
      </c>
      <c r="F43" s="26">
        <f>ROUNDDOWN($D$2/C43, 0)</f>
        <v>27551</v>
      </c>
      <c r="G43" s="27">
        <f>D43*F43</f>
        <v>-1214999.0999999999</v>
      </c>
      <c r="H43" s="2"/>
      <c r="I43" s="2"/>
      <c r="J43" s="2"/>
      <c r="K43" s="2"/>
      <c r="L43" s="2"/>
    </row>
    <row r="44" spans="1:15">
      <c r="A44" s="9" t="s">
        <v>17</v>
      </c>
      <c r="B44" s="10">
        <f t="shared" si="9"/>
        <v>357</v>
      </c>
      <c r="C44" s="10">
        <f t="shared" ref="C44:C55" si="10">MIN(27:27)</f>
        <v>420</v>
      </c>
      <c r="D44" s="7">
        <f>B44-C44</f>
        <v>-63</v>
      </c>
      <c r="E44" s="22">
        <f t="shared" ref="E44:E55" si="11">D44/C44</f>
        <v>-0.15</v>
      </c>
      <c r="F44" s="26">
        <f t="shared" ref="F44:F55" si="12">ROUNDDOWN($D$2/C44, 0)</f>
        <v>19285</v>
      </c>
      <c r="G44" s="27">
        <f t="shared" ref="G44:G55" si="13">D44*F44</f>
        <v>-1214955</v>
      </c>
      <c r="H44" s="2"/>
      <c r="I44" s="2"/>
      <c r="J44" s="2"/>
      <c r="K44" s="2"/>
      <c r="L44" s="2"/>
    </row>
    <row r="45" spans="1:15">
      <c r="A45" s="9" t="s">
        <v>12</v>
      </c>
      <c r="B45" s="10">
        <f t="shared" si="9"/>
        <v>442.84999999999997</v>
      </c>
      <c r="C45" s="10">
        <f t="shared" si="10"/>
        <v>521</v>
      </c>
      <c r="D45" s="7">
        <f t="shared" ref="D45:D55" si="14">B45-C45</f>
        <v>-78.150000000000034</v>
      </c>
      <c r="E45" s="22">
        <f t="shared" si="11"/>
        <v>-0.15000000000000008</v>
      </c>
      <c r="F45" s="26">
        <f t="shared" si="12"/>
        <v>15547</v>
      </c>
      <c r="G45" s="27">
        <f t="shared" si="13"/>
        <v>-1214998.0500000005</v>
      </c>
      <c r="H45" s="2"/>
      <c r="I45" s="2"/>
      <c r="J45" s="2"/>
      <c r="K45" s="2"/>
      <c r="L45" s="2"/>
    </row>
    <row r="46" spans="1:15">
      <c r="A46" s="9" t="s">
        <v>11</v>
      </c>
      <c r="B46" s="10">
        <f t="shared" si="9"/>
        <v>647.69999999999993</v>
      </c>
      <c r="C46" s="10">
        <f t="shared" si="10"/>
        <v>762</v>
      </c>
      <c r="D46" s="7">
        <f t="shared" si="14"/>
        <v>-114.30000000000007</v>
      </c>
      <c r="E46" s="22">
        <f t="shared" si="11"/>
        <v>-0.15000000000000008</v>
      </c>
      <c r="F46" s="26">
        <f t="shared" si="12"/>
        <v>10629</v>
      </c>
      <c r="G46" s="27">
        <f t="shared" si="13"/>
        <v>-1214894.7000000007</v>
      </c>
      <c r="H46" s="2"/>
      <c r="I46" s="2"/>
      <c r="J46" s="2"/>
      <c r="K46" s="2"/>
      <c r="L46" s="2"/>
    </row>
    <row r="47" spans="1:15">
      <c r="A47" s="9" t="s">
        <v>10</v>
      </c>
      <c r="B47" s="10">
        <f t="shared" si="9"/>
        <v>1423.75</v>
      </c>
      <c r="C47" s="10">
        <f t="shared" si="10"/>
        <v>1675</v>
      </c>
      <c r="D47" s="7">
        <f t="shared" si="14"/>
        <v>-251.25</v>
      </c>
      <c r="E47" s="22">
        <f t="shared" si="11"/>
        <v>-0.15</v>
      </c>
      <c r="F47" s="26">
        <f t="shared" si="12"/>
        <v>4835</v>
      </c>
      <c r="G47" s="27">
        <f t="shared" si="13"/>
        <v>-1214793.75</v>
      </c>
      <c r="H47" s="2"/>
      <c r="I47" s="2"/>
      <c r="J47" s="2"/>
      <c r="K47" s="2"/>
      <c r="L47" s="2"/>
    </row>
    <row r="48" spans="1:15">
      <c r="A48" s="9" t="s">
        <v>9</v>
      </c>
      <c r="B48" s="10">
        <f t="shared" si="9"/>
        <v>3848.7999999999997</v>
      </c>
      <c r="C48" s="10">
        <f t="shared" si="10"/>
        <v>3736</v>
      </c>
      <c r="D48" s="7">
        <f t="shared" si="14"/>
        <v>112.79999999999973</v>
      </c>
      <c r="E48" s="22">
        <f t="shared" si="11"/>
        <v>3.0192719486081297E-2</v>
      </c>
      <c r="F48" s="26">
        <f t="shared" si="12"/>
        <v>2168</v>
      </c>
      <c r="G48" s="27">
        <f t="shared" si="13"/>
        <v>244550.39999999941</v>
      </c>
      <c r="H48" s="2"/>
      <c r="I48" s="2"/>
      <c r="J48" s="2"/>
      <c r="K48" s="2"/>
      <c r="L48" s="2"/>
    </row>
    <row r="49" spans="1:12">
      <c r="A49" s="9" t="s">
        <v>4</v>
      </c>
      <c r="B49" s="10">
        <f t="shared" si="9"/>
        <v>8500</v>
      </c>
      <c r="C49" s="10">
        <f t="shared" si="10"/>
        <v>7873</v>
      </c>
      <c r="D49" s="7">
        <f t="shared" si="14"/>
        <v>627</v>
      </c>
      <c r="E49" s="22">
        <f t="shared" si="11"/>
        <v>7.9639273466277152E-2</v>
      </c>
      <c r="F49" s="26">
        <f t="shared" si="12"/>
        <v>1028</v>
      </c>
      <c r="G49" s="27">
        <f t="shared" si="13"/>
        <v>644556</v>
      </c>
      <c r="H49" s="2"/>
      <c r="I49" s="2"/>
      <c r="J49" s="2"/>
      <c r="K49" s="2"/>
      <c r="L49" s="2"/>
    </row>
    <row r="50" spans="1:12">
      <c r="A50" s="9" t="s">
        <v>3</v>
      </c>
      <c r="B50" s="10">
        <f t="shared" si="9"/>
        <v>63750</v>
      </c>
      <c r="C50" s="10">
        <f t="shared" si="10"/>
        <v>58083</v>
      </c>
      <c r="D50" s="7">
        <f t="shared" si="14"/>
        <v>5667</v>
      </c>
      <c r="E50" s="22">
        <f t="shared" si="11"/>
        <v>9.7567274417643721E-2</v>
      </c>
      <c r="F50" s="26">
        <f t="shared" si="12"/>
        <v>139</v>
      </c>
      <c r="G50" s="27">
        <f t="shared" si="13"/>
        <v>787713</v>
      </c>
      <c r="H50" s="2"/>
      <c r="I50" s="2"/>
      <c r="J50" s="2"/>
      <c r="K50" s="2"/>
      <c r="L50" s="2"/>
    </row>
    <row r="51" spans="1:12">
      <c r="A51" s="9" t="s">
        <v>2</v>
      </c>
      <c r="B51" s="10">
        <f t="shared" si="9"/>
        <v>257550</v>
      </c>
      <c r="C51" s="10">
        <f t="shared" si="10"/>
        <v>233177</v>
      </c>
      <c r="D51" s="7">
        <f t="shared" si="14"/>
        <v>24373</v>
      </c>
      <c r="E51" s="22">
        <f t="shared" si="11"/>
        <v>0.10452574653589333</v>
      </c>
      <c r="F51" s="26">
        <f t="shared" si="12"/>
        <v>34</v>
      </c>
      <c r="G51" s="27">
        <f t="shared" si="13"/>
        <v>828682</v>
      </c>
      <c r="H51" s="2"/>
      <c r="I51" s="2"/>
      <c r="J51" s="2"/>
      <c r="K51" s="2"/>
      <c r="L51" s="2"/>
    </row>
    <row r="52" spans="1:12">
      <c r="A52" s="9" t="s">
        <v>1</v>
      </c>
      <c r="B52" s="10">
        <f t="shared" si="9"/>
        <v>887400</v>
      </c>
      <c r="C52" s="10">
        <f t="shared" si="10"/>
        <v>792923</v>
      </c>
      <c r="D52" s="7">
        <f t="shared" si="14"/>
        <v>94477</v>
      </c>
      <c r="E52" s="22">
        <f t="shared" si="11"/>
        <v>0.11915028319269336</v>
      </c>
      <c r="F52" s="26">
        <f t="shared" si="12"/>
        <v>10</v>
      </c>
      <c r="G52" s="27">
        <f t="shared" si="13"/>
        <v>944770</v>
      </c>
      <c r="H52" s="2"/>
      <c r="I52" s="2"/>
      <c r="J52" s="2"/>
      <c r="K52" s="2"/>
      <c r="L52" s="2"/>
    </row>
    <row r="53" spans="1:12">
      <c r="A53" s="9" t="s">
        <v>41</v>
      </c>
      <c r="B53" s="10">
        <f t="shared" si="9"/>
        <v>2798200</v>
      </c>
      <c r="C53" s="10">
        <f t="shared" si="10"/>
        <v>2496625</v>
      </c>
      <c r="D53" s="7">
        <f t="shared" si="14"/>
        <v>301575</v>
      </c>
      <c r="E53" s="22">
        <f t="shared" si="11"/>
        <v>0.12079307064537124</v>
      </c>
      <c r="F53" s="26">
        <f t="shared" si="12"/>
        <v>3</v>
      </c>
      <c r="G53" s="27">
        <f t="shared" si="13"/>
        <v>904725</v>
      </c>
      <c r="H53" s="2"/>
      <c r="I53" s="2"/>
      <c r="J53" s="2"/>
      <c r="K53" s="2"/>
      <c r="L53" s="2"/>
    </row>
    <row r="54" spans="1:12">
      <c r="A54" s="9" t="s">
        <v>44</v>
      </c>
      <c r="B54" s="10">
        <f t="shared" si="9"/>
        <v>8844250</v>
      </c>
      <c r="C54" s="10">
        <f t="shared" si="10"/>
        <v>7712195</v>
      </c>
      <c r="D54" s="7">
        <f t="shared" si="14"/>
        <v>1132055</v>
      </c>
      <c r="E54" s="22">
        <f t="shared" si="11"/>
        <v>0.14678765254249926</v>
      </c>
      <c r="F54" s="26">
        <f t="shared" si="12"/>
        <v>1</v>
      </c>
      <c r="G54" s="27">
        <f t="shared" si="13"/>
        <v>1132055</v>
      </c>
      <c r="H54" s="2"/>
      <c r="I54" s="2"/>
      <c r="J54" s="2"/>
      <c r="K54" s="2"/>
      <c r="L54" s="2"/>
    </row>
    <row r="55" spans="1:12">
      <c r="A55" s="9" t="s">
        <v>45</v>
      </c>
      <c r="B55" s="10">
        <f t="shared" si="9"/>
        <v>267921700</v>
      </c>
      <c r="C55" s="10">
        <f t="shared" si="10"/>
        <v>23566345</v>
      </c>
      <c r="D55" s="7">
        <f t="shared" si="14"/>
        <v>244355355</v>
      </c>
      <c r="E55" s="22">
        <f t="shared" si="11"/>
        <v>10.368827028544308</v>
      </c>
      <c r="F55" s="26">
        <f t="shared" si="12"/>
        <v>0</v>
      </c>
      <c r="G55" s="27">
        <f t="shared" si="13"/>
        <v>0</v>
      </c>
      <c r="H55" s="2"/>
      <c r="I55" s="2"/>
      <c r="J55" s="2"/>
      <c r="K55" s="2"/>
      <c r="L55" s="2"/>
    </row>
    <row r="57" spans="1:12" ht="12.75" customHeight="1">
      <c r="A57" s="150" t="s">
        <v>57</v>
      </c>
      <c r="B57" s="150"/>
      <c r="C57" s="150"/>
      <c r="D57" s="150"/>
      <c r="E57" s="150"/>
    </row>
    <row r="58" spans="1:12">
      <c r="A58" s="23"/>
      <c r="B58" s="3" t="s">
        <v>22</v>
      </c>
      <c r="C58" s="3" t="s">
        <v>52</v>
      </c>
      <c r="D58" s="3" t="s">
        <v>54</v>
      </c>
      <c r="E58" s="3" t="s">
        <v>25</v>
      </c>
    </row>
    <row r="59" spans="1:12">
      <c r="A59" s="9" t="s">
        <v>1</v>
      </c>
      <c r="B59" s="6">
        <v>27</v>
      </c>
      <c r="C59" s="6" t="s">
        <v>53</v>
      </c>
      <c r="D59" s="6">
        <v>54</v>
      </c>
      <c r="E59" s="6" t="s">
        <v>26</v>
      </c>
    </row>
    <row r="61" spans="1:12" ht="12.75" customHeight="1">
      <c r="A61" s="150" t="s">
        <v>74</v>
      </c>
      <c r="B61" s="150"/>
      <c r="C61" s="150"/>
      <c r="D61" s="150"/>
      <c r="E61" s="150"/>
    </row>
    <row r="62" spans="1:12">
      <c r="A62" s="8" t="s">
        <v>70</v>
      </c>
      <c r="B62" s="8" t="s">
        <v>71</v>
      </c>
      <c r="C62" s="8" t="s">
        <v>72</v>
      </c>
      <c r="D62" s="8" t="s">
        <v>48</v>
      </c>
      <c r="E62" s="8" t="s">
        <v>64</v>
      </c>
    </row>
    <row r="63" spans="1:12" ht="15">
      <c r="A63" s="123" t="s">
        <v>69</v>
      </c>
      <c r="B63" s="125">
        <v>27</v>
      </c>
      <c r="C63" s="124">
        <v>0</v>
      </c>
      <c r="D63" s="39">
        <f>C14*B63</f>
        <v>103917.59999999999</v>
      </c>
      <c r="E63" s="39">
        <f>D63-C63</f>
        <v>103917.59999999999</v>
      </c>
    </row>
    <row r="64" spans="1:12">
      <c r="A64" s="123" t="s">
        <v>73</v>
      </c>
      <c r="B64" s="122">
        <f t="shared" ref="B64:B68" si="15">ROUNDDOWN(B63/D15, 0)</f>
        <v>13</v>
      </c>
      <c r="C64" s="39">
        <f>G16*B64+C63</f>
        <v>390000</v>
      </c>
      <c r="D64" s="39">
        <f>C16*B64</f>
        <v>828750</v>
      </c>
      <c r="E64" s="39">
        <f t="shared" ref="E64:E69" si="16">D64-C64</f>
        <v>438750</v>
      </c>
    </row>
    <row r="65" spans="1:5">
      <c r="A65" s="123" t="s">
        <v>75</v>
      </c>
      <c r="B65" s="122">
        <f t="shared" si="15"/>
        <v>4</v>
      </c>
      <c r="C65" s="39">
        <f t="shared" ref="C65:C69" si="17">G17*B65+C64</f>
        <v>590000</v>
      </c>
      <c r="D65" s="39">
        <f t="shared" ref="D65:D69" si="18">C17*B65</f>
        <v>1030200</v>
      </c>
      <c r="E65" s="39">
        <f t="shared" si="16"/>
        <v>440200</v>
      </c>
    </row>
    <row r="66" spans="1:5">
      <c r="A66" s="123" t="s">
        <v>76</v>
      </c>
      <c r="B66" s="122">
        <f t="shared" si="15"/>
        <v>1</v>
      </c>
      <c r="C66" s="39">
        <f t="shared" si="17"/>
        <v>670000</v>
      </c>
      <c r="D66" s="39">
        <f t="shared" si="18"/>
        <v>887400</v>
      </c>
      <c r="E66" s="39">
        <f t="shared" si="16"/>
        <v>217400</v>
      </c>
    </row>
    <row r="67" spans="1:5">
      <c r="A67" s="123" t="s">
        <v>225</v>
      </c>
      <c r="B67" s="122">
        <f t="shared" si="15"/>
        <v>0</v>
      </c>
      <c r="C67" s="39">
        <f t="shared" si="17"/>
        <v>670000</v>
      </c>
      <c r="D67" s="39">
        <f t="shared" si="18"/>
        <v>0</v>
      </c>
      <c r="E67" s="39">
        <f t="shared" si="16"/>
        <v>-670000</v>
      </c>
    </row>
    <row r="68" spans="1:5">
      <c r="A68" s="123" t="s">
        <v>226</v>
      </c>
      <c r="B68" s="122">
        <f t="shared" si="15"/>
        <v>0</v>
      </c>
      <c r="C68" s="39">
        <f t="shared" si="17"/>
        <v>670000</v>
      </c>
      <c r="D68" s="39">
        <f t="shared" si="18"/>
        <v>0</v>
      </c>
      <c r="E68" s="39">
        <f t="shared" si="16"/>
        <v>-670000</v>
      </c>
    </row>
    <row r="69" spans="1:5">
      <c r="A69" s="123" t="s">
        <v>227</v>
      </c>
      <c r="B69" s="122">
        <f>ROUNDDOWN(B68/D20, 0)</f>
        <v>0</v>
      </c>
      <c r="C69" s="39">
        <f t="shared" si="17"/>
        <v>670000</v>
      </c>
      <c r="D69" s="39">
        <f t="shared" si="18"/>
        <v>0</v>
      </c>
      <c r="E69" s="39">
        <f t="shared" si="16"/>
        <v>-670000</v>
      </c>
    </row>
  </sheetData>
  <sheetProtection sheet="1" objects="1" scenarios="1" selectLockedCells="1"/>
  <mergeCells count="9">
    <mergeCell ref="A61:E61"/>
    <mergeCell ref="A57:E57"/>
    <mergeCell ref="B6:C6"/>
    <mergeCell ref="D6:G6"/>
    <mergeCell ref="D1:E1"/>
    <mergeCell ref="D2:E2"/>
    <mergeCell ref="A40:G40"/>
    <mergeCell ref="A1:B1"/>
    <mergeCell ref="A23:O23"/>
  </mergeCells>
  <conditionalFormatting sqref="D42:D55">
    <cfRule type="top10" dxfId="71" priority="54" rank="2"/>
  </conditionalFormatting>
  <conditionalFormatting sqref="E42:E55">
    <cfRule type="top10" dxfId="70" priority="53" rank="2"/>
  </conditionalFormatting>
  <conditionalFormatting sqref="D42:E55 F42:G42">
    <cfRule type="cellIs" dxfId="69" priority="52" operator="lessThan">
      <formula>0</formula>
    </cfRule>
  </conditionalFormatting>
  <conditionalFormatting sqref="F42">
    <cfRule type="top10" dxfId="68" priority="51" rank="2"/>
  </conditionalFormatting>
  <conditionalFormatting sqref="G42">
    <cfRule type="top10" dxfId="67" priority="49" rank="2"/>
  </conditionalFormatting>
  <conditionalFormatting sqref="G43:G55">
    <cfRule type="top10" dxfId="66" priority="46" rank="2"/>
    <cfRule type="cellIs" dxfId="65" priority="47" operator="lessThan">
      <formula>0</formula>
    </cfRule>
  </conditionalFormatting>
  <conditionalFormatting sqref="B25">
    <cfRule type="top10" dxfId="64" priority="17" bottom="1" rank="1"/>
  </conditionalFormatting>
  <conditionalFormatting sqref="B26:C26">
    <cfRule type="top10" dxfId="63" priority="16" bottom="1" rank="1"/>
  </conditionalFormatting>
  <conditionalFormatting sqref="B27:D27">
    <cfRule type="top10" dxfId="62" priority="15" bottom="1" rank="1"/>
  </conditionalFormatting>
  <conditionalFormatting sqref="B28:E28">
    <cfRule type="top10" dxfId="61" priority="14" bottom="1" rank="1"/>
  </conditionalFormatting>
  <conditionalFormatting sqref="B29:F29">
    <cfRule type="top10" dxfId="60" priority="13" bottom="1" rank="1"/>
  </conditionalFormatting>
  <conditionalFormatting sqref="B30:G30">
    <cfRule type="top10" dxfId="59" priority="12" bottom="1" rank="1"/>
  </conditionalFormatting>
  <conditionalFormatting sqref="B31:H31">
    <cfRule type="top10" dxfId="58" priority="11" bottom="1" rank="1"/>
  </conditionalFormatting>
  <conditionalFormatting sqref="B32:I32">
    <cfRule type="top10" dxfId="57" priority="10" bottom="1" rank="1"/>
  </conditionalFormatting>
  <conditionalFormatting sqref="B33:J33">
    <cfRule type="top10" dxfId="56" priority="9" bottom="1" rank="1"/>
  </conditionalFormatting>
  <conditionalFormatting sqref="B34:K34">
    <cfRule type="top10" dxfId="55" priority="8" bottom="1" rank="1"/>
  </conditionalFormatting>
  <conditionalFormatting sqref="B35:L35">
    <cfRule type="top10" dxfId="54" priority="7" bottom="1" rank="1"/>
  </conditionalFormatting>
  <conditionalFormatting sqref="B36:M36">
    <cfRule type="top10" dxfId="53" priority="6" bottom="1" rank="1"/>
  </conditionalFormatting>
  <conditionalFormatting sqref="B37:N37">
    <cfRule type="top10" dxfId="52" priority="5" bottom="1" rank="1"/>
  </conditionalFormatting>
  <conditionalFormatting sqref="B38:O38">
    <cfRule type="top10" dxfId="51" priority="4" bottom="1" rank="1"/>
  </conditionalFormatting>
  <conditionalFormatting sqref="E63:E66">
    <cfRule type="top10" dxfId="50" priority="3" rank="1"/>
  </conditionalFormatting>
  <conditionalFormatting sqref="E63:E69">
    <cfRule type="top10" dxfId="49" priority="2" rank="1"/>
  </conditionalFormatting>
  <dataValidations count="1">
    <dataValidation allowBlank="1" showInputMessage="1" showErrorMessage="1" prompt="Input how many flawless squares you have" sqref="B63"/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O70"/>
  <sheetViews>
    <sheetView topLeftCell="A56" zoomScale="85" zoomScaleNormal="85" workbookViewId="0">
      <selection activeCell="B2" sqref="B2"/>
    </sheetView>
  </sheetViews>
  <sheetFormatPr defaultColWidth="11.7109375" defaultRowHeight="12.75"/>
  <cols>
    <col min="1" max="1" width="21.5703125" style="1" customWidth="1"/>
    <col min="2" max="2" width="12.28515625" style="1" customWidth="1"/>
    <col min="3" max="3" width="13.42578125" style="1" bestFit="1" customWidth="1"/>
    <col min="4" max="4" width="11.28515625" style="1" bestFit="1" customWidth="1"/>
    <col min="5" max="5" width="14.5703125" style="1" bestFit="1" customWidth="1"/>
    <col min="6" max="10" width="12.28515625" style="1" customWidth="1"/>
    <col min="11" max="11" width="13.42578125" style="1" bestFit="1" customWidth="1"/>
    <col min="12" max="12" width="12.28515625" style="1" customWidth="1"/>
    <col min="13" max="13" width="12.28515625" style="2" customWidth="1"/>
    <col min="14" max="16384" width="11.7109375" style="2"/>
  </cols>
  <sheetData>
    <row r="1" spans="1:12" ht="12.75" customHeight="1">
      <c r="A1" s="145" t="s">
        <v>43</v>
      </c>
      <c r="B1" s="145"/>
      <c r="D1" s="147" t="s">
        <v>60</v>
      </c>
      <c r="E1" s="147"/>
      <c r="F1" s="12"/>
    </row>
    <row r="2" spans="1:12">
      <c r="A2" s="13" t="s">
        <v>23</v>
      </c>
      <c r="B2" s="45">
        <v>1006</v>
      </c>
      <c r="D2" s="148">
        <v>8100000</v>
      </c>
      <c r="E2" s="148"/>
      <c r="F2" s="12"/>
    </row>
    <row r="3" spans="1:12">
      <c r="A3" s="13" t="s">
        <v>24</v>
      </c>
      <c r="B3" s="45">
        <v>301</v>
      </c>
      <c r="F3" s="12"/>
    </row>
    <row r="4" spans="1:12">
      <c r="A4" s="13" t="s">
        <v>5</v>
      </c>
      <c r="B4" s="45">
        <v>1488</v>
      </c>
      <c r="F4" s="12"/>
    </row>
    <row r="5" spans="1:12">
      <c r="F5" s="12"/>
      <c r="G5" s="15"/>
      <c r="K5" s="2"/>
      <c r="L5" s="2"/>
    </row>
    <row r="6" spans="1:12" customFormat="1" ht="15">
      <c r="A6" s="20"/>
      <c r="B6" s="151" t="s">
        <v>6</v>
      </c>
      <c r="C6" s="152"/>
      <c r="D6" s="153" t="s">
        <v>16</v>
      </c>
      <c r="E6" s="153"/>
      <c r="F6" s="153"/>
      <c r="G6" s="153"/>
    </row>
    <row r="7" spans="1:12" customFormat="1" ht="25.5">
      <c r="A7" s="3" t="s">
        <v>0</v>
      </c>
      <c r="B7" s="29" t="s">
        <v>36</v>
      </c>
      <c r="C7" s="29" t="s">
        <v>40</v>
      </c>
      <c r="D7" s="3" t="s">
        <v>13</v>
      </c>
      <c r="E7" s="3" t="s">
        <v>27</v>
      </c>
      <c r="F7" s="3" t="s">
        <v>28</v>
      </c>
      <c r="G7" s="3" t="s">
        <v>14</v>
      </c>
    </row>
    <row r="8" spans="1:12" customFormat="1" ht="15">
      <c r="A8" s="4" t="s">
        <v>18</v>
      </c>
      <c r="B8" s="44">
        <v>661</v>
      </c>
      <c r="C8" s="14">
        <f>B8*0.85</f>
        <v>561.85</v>
      </c>
      <c r="D8" s="6" t="s">
        <v>15</v>
      </c>
      <c r="E8" s="6" t="s">
        <v>15</v>
      </c>
      <c r="F8" s="10" t="s">
        <v>15</v>
      </c>
      <c r="G8" s="10" t="s">
        <v>15</v>
      </c>
    </row>
    <row r="9" spans="1:12" customFormat="1" ht="15">
      <c r="A9" s="4" t="s">
        <v>19</v>
      </c>
      <c r="B9" s="44">
        <v>100</v>
      </c>
      <c r="C9" s="14">
        <f t="shared" ref="C9:C21" si="0">B9*0.85</f>
        <v>85</v>
      </c>
      <c r="D9" s="6">
        <v>2</v>
      </c>
      <c r="E9" s="6" t="s">
        <v>15</v>
      </c>
      <c r="F9" s="10">
        <v>0</v>
      </c>
      <c r="G9" s="10">
        <v>10</v>
      </c>
    </row>
    <row r="10" spans="1:12" customFormat="1" ht="15">
      <c r="A10" s="4" t="s">
        <v>17</v>
      </c>
      <c r="B10" s="44">
        <v>117</v>
      </c>
      <c r="C10" s="14">
        <f t="shared" si="0"/>
        <v>99.45</v>
      </c>
      <c r="D10" s="6">
        <v>2</v>
      </c>
      <c r="E10" s="6" t="s">
        <v>15</v>
      </c>
      <c r="F10" s="10">
        <v>0</v>
      </c>
      <c r="G10" s="10">
        <v>25</v>
      </c>
    </row>
    <row r="11" spans="1:12" customFormat="1" ht="15">
      <c r="A11" s="4" t="s">
        <v>12</v>
      </c>
      <c r="B11" s="44">
        <v>98</v>
      </c>
      <c r="C11" s="14">
        <f t="shared" si="0"/>
        <v>83.3</v>
      </c>
      <c r="D11" s="6">
        <v>2</v>
      </c>
      <c r="E11" s="6" t="s">
        <v>15</v>
      </c>
      <c r="F11" s="10">
        <v>0</v>
      </c>
      <c r="G11" s="10">
        <v>40</v>
      </c>
    </row>
    <row r="12" spans="1:12" customFormat="1" ht="15">
      <c r="A12" s="4" t="s">
        <v>11</v>
      </c>
      <c r="B12" s="44">
        <v>82</v>
      </c>
      <c r="C12" s="14">
        <f t="shared" si="0"/>
        <v>69.7</v>
      </c>
      <c r="D12" s="6">
        <v>2</v>
      </c>
      <c r="E12" s="6" t="s">
        <v>29</v>
      </c>
      <c r="F12" s="10">
        <f>B2</f>
        <v>1006</v>
      </c>
      <c r="G12" s="10">
        <v>55</v>
      </c>
    </row>
    <row r="13" spans="1:12" customFormat="1" ht="15">
      <c r="A13" s="4" t="s">
        <v>10</v>
      </c>
      <c r="B13" s="44">
        <v>142</v>
      </c>
      <c r="C13" s="14">
        <f t="shared" si="0"/>
        <v>120.7</v>
      </c>
      <c r="D13" s="6">
        <v>2</v>
      </c>
      <c r="E13" s="6" t="s">
        <v>29</v>
      </c>
      <c r="F13" s="10">
        <f>B2</f>
        <v>1006</v>
      </c>
      <c r="G13" s="10">
        <v>70</v>
      </c>
    </row>
    <row r="14" spans="1:12" customFormat="1" ht="15">
      <c r="A14" s="4" t="s">
        <v>9</v>
      </c>
      <c r="B14" s="44">
        <v>662</v>
      </c>
      <c r="C14" s="14">
        <f t="shared" si="0"/>
        <v>562.69999999999993</v>
      </c>
      <c r="D14" s="6">
        <v>2</v>
      </c>
      <c r="E14" s="6" t="s">
        <v>30</v>
      </c>
      <c r="F14" s="10">
        <f>B3</f>
        <v>301</v>
      </c>
      <c r="G14" s="10">
        <v>85</v>
      </c>
    </row>
    <row r="15" spans="1:12" customFormat="1" ht="15">
      <c r="A15" s="4" t="s">
        <v>4</v>
      </c>
      <c r="B15" s="44">
        <v>1599</v>
      </c>
      <c r="C15" s="14">
        <f t="shared" si="0"/>
        <v>1359.1499999999999</v>
      </c>
      <c r="D15" s="6">
        <v>2</v>
      </c>
      <c r="E15" s="6" t="s">
        <v>30</v>
      </c>
      <c r="F15" s="10">
        <f>B3</f>
        <v>301</v>
      </c>
      <c r="G15" s="10">
        <v>100</v>
      </c>
    </row>
    <row r="16" spans="1:12" customFormat="1" ht="15">
      <c r="A16" s="4" t="s">
        <v>3</v>
      </c>
      <c r="B16" s="44">
        <v>44127</v>
      </c>
      <c r="C16" s="14">
        <f t="shared" si="0"/>
        <v>37507.949999999997</v>
      </c>
      <c r="D16" s="6">
        <v>3</v>
      </c>
      <c r="E16" s="6" t="s">
        <v>31</v>
      </c>
      <c r="F16" s="10">
        <f>3*B4</f>
        <v>4464</v>
      </c>
      <c r="G16" s="10">
        <v>30000</v>
      </c>
      <c r="H16" s="24"/>
      <c r="I16" s="24"/>
    </row>
    <row r="17" spans="1:15" customFormat="1" ht="15">
      <c r="A17" s="4" t="s">
        <v>2</v>
      </c>
      <c r="B17" s="44">
        <v>202000</v>
      </c>
      <c r="C17" s="14">
        <f t="shared" si="0"/>
        <v>171700</v>
      </c>
      <c r="D17" s="6">
        <v>3</v>
      </c>
      <c r="E17" s="6" t="s">
        <v>32</v>
      </c>
      <c r="F17" s="10">
        <f>6*B4</f>
        <v>8928</v>
      </c>
      <c r="G17" s="10">
        <v>50000</v>
      </c>
      <c r="H17" s="24"/>
      <c r="I17" s="24"/>
    </row>
    <row r="18" spans="1:15" customFormat="1" ht="15">
      <c r="A18" s="4" t="s">
        <v>1</v>
      </c>
      <c r="B18" s="44">
        <v>731000</v>
      </c>
      <c r="C18" s="14">
        <f t="shared" si="0"/>
        <v>621350</v>
      </c>
      <c r="D18" s="6">
        <v>3</v>
      </c>
      <c r="E18" s="6" t="s">
        <v>33</v>
      </c>
      <c r="F18" s="10">
        <f>9*B4</f>
        <v>13392</v>
      </c>
      <c r="G18" s="10">
        <v>80000</v>
      </c>
      <c r="H18" s="24"/>
      <c r="I18" s="24"/>
    </row>
    <row r="19" spans="1:15" customFormat="1" ht="15">
      <c r="A19" s="4" t="s">
        <v>41</v>
      </c>
      <c r="B19" s="44">
        <v>2432000</v>
      </c>
      <c r="C19" s="14">
        <f t="shared" si="0"/>
        <v>2067200</v>
      </c>
      <c r="D19" s="6">
        <v>3</v>
      </c>
      <c r="E19" s="6" t="s">
        <v>42</v>
      </c>
      <c r="F19" s="10">
        <f>12*B4</f>
        <v>17856</v>
      </c>
      <c r="G19" s="10">
        <v>100000</v>
      </c>
      <c r="H19" s="24"/>
    </row>
    <row r="20" spans="1:15" customFormat="1" ht="15">
      <c r="A20" s="4" t="s">
        <v>44</v>
      </c>
      <c r="B20" s="44">
        <v>7852000</v>
      </c>
      <c r="C20" s="14">
        <f t="shared" si="0"/>
        <v>6674200</v>
      </c>
      <c r="D20" s="6">
        <v>3</v>
      </c>
      <c r="E20" s="6" t="s">
        <v>47</v>
      </c>
      <c r="F20" s="10">
        <f>15*B4</f>
        <v>22320</v>
      </c>
      <c r="G20" s="10">
        <v>200000</v>
      </c>
    </row>
    <row r="21" spans="1:15" customFormat="1" ht="15">
      <c r="A21" s="4" t="s">
        <v>45</v>
      </c>
      <c r="B21" s="44">
        <v>24762204</v>
      </c>
      <c r="C21" s="14">
        <f t="shared" si="0"/>
        <v>21047873.399999999</v>
      </c>
      <c r="D21" s="6">
        <v>3</v>
      </c>
      <c r="E21" s="6" t="s">
        <v>46</v>
      </c>
      <c r="F21" s="10">
        <f>20*B4</f>
        <v>29760</v>
      </c>
      <c r="G21" s="10">
        <v>400000</v>
      </c>
    </row>
    <row r="23" spans="1:15" ht="12.75" customHeight="1">
      <c r="A23" s="156" t="s">
        <v>58</v>
      </c>
      <c r="B23" s="156"/>
      <c r="C23" s="156"/>
      <c r="D23" s="156"/>
      <c r="E23" s="156"/>
      <c r="F23" s="156"/>
      <c r="G23" s="156"/>
      <c r="H23" s="156"/>
      <c r="I23" s="156"/>
      <c r="J23" s="156"/>
      <c r="K23" s="156"/>
      <c r="L23" s="156"/>
      <c r="M23" s="156"/>
      <c r="N23" s="156"/>
      <c r="O23" s="156"/>
    </row>
    <row r="24" spans="1:15" s="5" customFormat="1" ht="25.5">
      <c r="A24" s="8" t="s">
        <v>20</v>
      </c>
      <c r="B24" s="3" t="s">
        <v>18</v>
      </c>
      <c r="C24" s="3" t="s">
        <v>19</v>
      </c>
      <c r="D24" s="3" t="s">
        <v>17</v>
      </c>
      <c r="E24" s="3" t="s">
        <v>12</v>
      </c>
      <c r="F24" s="3" t="s">
        <v>11</v>
      </c>
      <c r="G24" s="3" t="s">
        <v>10</v>
      </c>
      <c r="H24" s="3" t="s">
        <v>9</v>
      </c>
      <c r="I24" s="3" t="s">
        <v>4</v>
      </c>
      <c r="J24" s="3" t="s">
        <v>3</v>
      </c>
      <c r="K24" s="3" t="s">
        <v>2</v>
      </c>
      <c r="L24" s="3" t="s">
        <v>1</v>
      </c>
      <c r="M24" s="3" t="s">
        <v>41</v>
      </c>
      <c r="N24" s="3" t="s">
        <v>44</v>
      </c>
      <c r="O24" s="3" t="s">
        <v>45</v>
      </c>
    </row>
    <row r="25" spans="1:15" ht="12.75" customHeight="1">
      <c r="A25" s="9" t="s">
        <v>18</v>
      </c>
      <c r="B25" s="40">
        <f>B8</f>
        <v>661</v>
      </c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6"/>
      <c r="O25" s="16"/>
    </row>
    <row r="26" spans="1:15" ht="12.75" customHeight="1">
      <c r="A26" s="9" t="s">
        <v>19</v>
      </c>
      <c r="B26" s="10">
        <f>D9*B8+G9+F9</f>
        <v>1332</v>
      </c>
      <c r="C26" s="40">
        <f>B9</f>
        <v>100</v>
      </c>
      <c r="D26" s="19"/>
      <c r="E26" s="31"/>
      <c r="F26" s="32"/>
      <c r="G26" s="32"/>
      <c r="H26" s="32"/>
      <c r="I26" s="32"/>
      <c r="J26" s="32"/>
      <c r="K26" s="32"/>
      <c r="L26" s="32"/>
      <c r="M26" s="32"/>
      <c r="N26" s="33"/>
      <c r="O26" s="16"/>
    </row>
    <row r="27" spans="1:15">
      <c r="A27" s="9" t="s">
        <v>17</v>
      </c>
      <c r="B27" s="10">
        <f t="shared" ref="B27:B38" si="1">D10*B26+G10+F10</f>
        <v>2689</v>
      </c>
      <c r="C27" s="10">
        <f>D10*B9+G10+F10</f>
        <v>225</v>
      </c>
      <c r="D27" s="39">
        <f>B10</f>
        <v>117</v>
      </c>
      <c r="E27" s="34"/>
      <c r="F27" s="35"/>
      <c r="G27" s="35"/>
      <c r="H27" s="35"/>
      <c r="I27" s="35"/>
      <c r="J27" s="35"/>
      <c r="K27" s="35"/>
      <c r="L27" s="35"/>
      <c r="M27" s="35"/>
      <c r="N27" s="36"/>
      <c r="O27" s="16"/>
    </row>
    <row r="28" spans="1:15">
      <c r="A28" s="9" t="s">
        <v>12</v>
      </c>
      <c r="B28" s="10">
        <f t="shared" si="1"/>
        <v>5418</v>
      </c>
      <c r="C28" s="10">
        <f t="shared" ref="C28:C38" si="2">D11*C27+G11+F11</f>
        <v>490</v>
      </c>
      <c r="D28" s="10">
        <f>D11*B10+G11+F11</f>
        <v>274</v>
      </c>
      <c r="E28" s="41">
        <f>B11</f>
        <v>98</v>
      </c>
      <c r="F28" s="37"/>
      <c r="G28" s="37"/>
      <c r="H28" s="37"/>
      <c r="I28" s="37"/>
      <c r="J28" s="37"/>
      <c r="K28" s="37"/>
      <c r="L28" s="37"/>
      <c r="M28" s="37"/>
      <c r="N28" s="38"/>
      <c r="O28" s="16"/>
    </row>
    <row r="29" spans="1:15" ht="12.75" customHeight="1">
      <c r="A29" s="9" t="s">
        <v>11</v>
      </c>
      <c r="B29" s="10">
        <f t="shared" si="1"/>
        <v>11897</v>
      </c>
      <c r="C29" s="10">
        <f t="shared" si="2"/>
        <v>2041</v>
      </c>
      <c r="D29" s="10">
        <f t="shared" ref="D29:D38" si="3">D12*D28+G12+F12</f>
        <v>1609</v>
      </c>
      <c r="E29" s="10">
        <f>D12*B11+G12+F12</f>
        <v>1257</v>
      </c>
      <c r="F29" s="39">
        <f>B12</f>
        <v>82</v>
      </c>
      <c r="G29" s="19"/>
      <c r="H29" s="18"/>
      <c r="I29" s="18"/>
      <c r="J29" s="18"/>
      <c r="K29" s="18"/>
      <c r="L29" s="18"/>
      <c r="M29" s="16"/>
      <c r="N29" s="16"/>
      <c r="O29" s="16"/>
    </row>
    <row r="30" spans="1:15">
      <c r="A30" s="9" t="s">
        <v>10</v>
      </c>
      <c r="B30" s="10">
        <f t="shared" si="1"/>
        <v>24870</v>
      </c>
      <c r="C30" s="10">
        <f t="shared" si="2"/>
        <v>5158</v>
      </c>
      <c r="D30" s="10">
        <f t="shared" si="3"/>
        <v>4294</v>
      </c>
      <c r="E30" s="10">
        <f t="shared" ref="E30:E38" si="4">D13*E29+F13+G13</f>
        <v>3590</v>
      </c>
      <c r="F30" s="10">
        <f>D13*B12+F13+G13</f>
        <v>1240</v>
      </c>
      <c r="G30" s="40">
        <f>B13</f>
        <v>142</v>
      </c>
      <c r="H30" s="19"/>
      <c r="I30" s="19"/>
      <c r="J30" s="19"/>
      <c r="K30" s="19"/>
      <c r="L30" s="19"/>
      <c r="M30" s="16"/>
      <c r="N30" s="16"/>
      <c r="O30" s="16"/>
    </row>
    <row r="31" spans="1:15">
      <c r="A31" s="9" t="s">
        <v>9</v>
      </c>
      <c r="B31" s="10">
        <f t="shared" si="1"/>
        <v>50126</v>
      </c>
      <c r="C31" s="10">
        <f t="shared" si="2"/>
        <v>10702</v>
      </c>
      <c r="D31" s="10">
        <f t="shared" si="3"/>
        <v>8974</v>
      </c>
      <c r="E31" s="10">
        <f t="shared" si="4"/>
        <v>7566</v>
      </c>
      <c r="F31" s="10">
        <f t="shared" ref="F31:F38" si="5">D14*F30+F14+G14</f>
        <v>2866</v>
      </c>
      <c r="G31" s="10">
        <f>D14*B13+F14+G14</f>
        <v>670</v>
      </c>
      <c r="H31" s="39">
        <f>B14</f>
        <v>662</v>
      </c>
      <c r="I31" s="11"/>
      <c r="J31" s="11"/>
      <c r="K31" s="11"/>
      <c r="L31" s="11"/>
      <c r="M31" s="16"/>
      <c r="N31" s="16"/>
      <c r="O31" s="16"/>
    </row>
    <row r="32" spans="1:15">
      <c r="A32" s="9" t="s">
        <v>4</v>
      </c>
      <c r="B32" s="10">
        <f t="shared" si="1"/>
        <v>100653</v>
      </c>
      <c r="C32" s="10">
        <f t="shared" si="2"/>
        <v>21805</v>
      </c>
      <c r="D32" s="10">
        <f t="shared" si="3"/>
        <v>18349</v>
      </c>
      <c r="E32" s="10">
        <f t="shared" si="4"/>
        <v>15533</v>
      </c>
      <c r="F32" s="10">
        <f t="shared" si="5"/>
        <v>6133</v>
      </c>
      <c r="G32" s="10">
        <f t="shared" ref="G32:G38" si="6">D15*G31+F15+G15</f>
        <v>1741</v>
      </c>
      <c r="H32" s="10">
        <f>D15*B14+F15+G15</f>
        <v>1725</v>
      </c>
      <c r="I32" s="39">
        <f>B15</f>
        <v>1599</v>
      </c>
      <c r="J32" s="11"/>
      <c r="K32" s="11"/>
      <c r="L32" s="11"/>
      <c r="M32" s="16"/>
      <c r="N32" s="16"/>
      <c r="O32" s="16"/>
    </row>
    <row r="33" spans="1:15">
      <c r="A33" s="9" t="s">
        <v>3</v>
      </c>
      <c r="B33" s="10">
        <f t="shared" si="1"/>
        <v>336423</v>
      </c>
      <c r="C33" s="10">
        <f t="shared" si="2"/>
        <v>99879</v>
      </c>
      <c r="D33" s="10">
        <f t="shared" si="3"/>
        <v>89511</v>
      </c>
      <c r="E33" s="10">
        <f t="shared" si="4"/>
        <v>81063</v>
      </c>
      <c r="F33" s="10">
        <f t="shared" si="5"/>
        <v>52863</v>
      </c>
      <c r="G33" s="10">
        <f t="shared" si="6"/>
        <v>39687</v>
      </c>
      <c r="H33" s="10">
        <f t="shared" ref="H33:H38" si="7">H32*D16+F16+G16</f>
        <v>39639</v>
      </c>
      <c r="I33" s="10">
        <f>D16*B15+F16+G16</f>
        <v>39261</v>
      </c>
      <c r="J33" s="39">
        <f>B16</f>
        <v>44127</v>
      </c>
      <c r="K33" s="11"/>
      <c r="L33" s="11"/>
      <c r="M33" s="16"/>
      <c r="N33" s="16"/>
      <c r="O33" s="16"/>
    </row>
    <row r="34" spans="1:15">
      <c r="A34" s="9" t="s">
        <v>2</v>
      </c>
      <c r="B34" s="10">
        <f t="shared" si="1"/>
        <v>1068197</v>
      </c>
      <c r="C34" s="10">
        <f t="shared" si="2"/>
        <v>358565</v>
      </c>
      <c r="D34" s="10">
        <f t="shared" si="3"/>
        <v>327461</v>
      </c>
      <c r="E34" s="10">
        <f t="shared" si="4"/>
        <v>302117</v>
      </c>
      <c r="F34" s="10">
        <f t="shared" si="5"/>
        <v>217517</v>
      </c>
      <c r="G34" s="10">
        <f t="shared" si="6"/>
        <v>177989</v>
      </c>
      <c r="H34" s="10">
        <f t="shared" si="7"/>
        <v>177845</v>
      </c>
      <c r="I34" s="10">
        <f>I33*D17+F17+G17</f>
        <v>176711</v>
      </c>
      <c r="J34" s="10">
        <f>D17*B16+F17+G17</f>
        <v>191309</v>
      </c>
      <c r="K34" s="39">
        <f>B17</f>
        <v>202000</v>
      </c>
      <c r="L34" s="11"/>
      <c r="M34" s="16"/>
      <c r="N34" s="16"/>
      <c r="O34" s="16"/>
    </row>
    <row r="35" spans="1:15">
      <c r="A35" s="9" t="s">
        <v>1</v>
      </c>
      <c r="B35" s="10">
        <f t="shared" si="1"/>
        <v>3297983</v>
      </c>
      <c r="C35" s="10">
        <f t="shared" si="2"/>
        <v>1169087</v>
      </c>
      <c r="D35" s="10">
        <f t="shared" si="3"/>
        <v>1075775</v>
      </c>
      <c r="E35" s="10">
        <f t="shared" si="4"/>
        <v>999743</v>
      </c>
      <c r="F35" s="10">
        <f t="shared" si="5"/>
        <v>745943</v>
      </c>
      <c r="G35" s="10">
        <f t="shared" si="6"/>
        <v>627359</v>
      </c>
      <c r="H35" s="10">
        <f t="shared" si="7"/>
        <v>626927</v>
      </c>
      <c r="I35" s="10">
        <f>I34*D18+F18+G18</f>
        <v>623525</v>
      </c>
      <c r="J35" s="10">
        <f>J34*D18+F18+G18</f>
        <v>667319</v>
      </c>
      <c r="K35" s="10">
        <f>D18*B17+F18+G18</f>
        <v>699392</v>
      </c>
      <c r="L35" s="39">
        <f>B18</f>
        <v>731000</v>
      </c>
      <c r="M35" s="16"/>
      <c r="N35" s="16"/>
      <c r="O35" s="16"/>
    </row>
    <row r="36" spans="1:15">
      <c r="A36" s="9" t="s">
        <v>41</v>
      </c>
      <c r="B36" s="10">
        <f t="shared" si="1"/>
        <v>10011805</v>
      </c>
      <c r="C36" s="10">
        <f t="shared" si="2"/>
        <v>3625117</v>
      </c>
      <c r="D36" s="10">
        <f t="shared" si="3"/>
        <v>3345181</v>
      </c>
      <c r="E36" s="10">
        <f t="shared" si="4"/>
        <v>3117085</v>
      </c>
      <c r="F36" s="10">
        <f t="shared" si="5"/>
        <v>2355685</v>
      </c>
      <c r="G36" s="10">
        <f t="shared" si="6"/>
        <v>1999933</v>
      </c>
      <c r="H36" s="10">
        <f t="shared" si="7"/>
        <v>1998637</v>
      </c>
      <c r="I36" s="10">
        <f>I35*D19+F19+G19</f>
        <v>1988431</v>
      </c>
      <c r="J36" s="10">
        <f>J35*D19+F19+G19</f>
        <v>2119813</v>
      </c>
      <c r="K36" s="10">
        <f>D19*K35+F19+G19</f>
        <v>2216032</v>
      </c>
      <c r="L36" s="17">
        <f>D19*B18+F19+G19</f>
        <v>2310856</v>
      </c>
      <c r="M36" s="42">
        <f>B19</f>
        <v>2432000</v>
      </c>
      <c r="N36" s="16"/>
      <c r="O36" s="16"/>
    </row>
    <row r="37" spans="1:15">
      <c r="A37" s="9" t="s">
        <v>44</v>
      </c>
      <c r="B37" s="10">
        <f t="shared" si="1"/>
        <v>30257735</v>
      </c>
      <c r="C37" s="10">
        <f t="shared" si="2"/>
        <v>11097671</v>
      </c>
      <c r="D37" s="10">
        <f t="shared" si="3"/>
        <v>10257863</v>
      </c>
      <c r="E37" s="10">
        <f t="shared" si="4"/>
        <v>9573575</v>
      </c>
      <c r="F37" s="10">
        <f t="shared" si="5"/>
        <v>7289375</v>
      </c>
      <c r="G37" s="10">
        <f t="shared" si="6"/>
        <v>6222119</v>
      </c>
      <c r="H37" s="10">
        <f t="shared" si="7"/>
        <v>6218231</v>
      </c>
      <c r="I37" s="10">
        <f>I36*D20+F20+G20</f>
        <v>6187613</v>
      </c>
      <c r="J37" s="10">
        <f>J36*D20+F20+G20</f>
        <v>6581759</v>
      </c>
      <c r="K37" s="10">
        <f>D20*K36+F20+G20</f>
        <v>6870416</v>
      </c>
      <c r="L37" s="17">
        <f>D20*L36+F20+G20</f>
        <v>7154888</v>
      </c>
      <c r="M37" s="17">
        <f>B19*D20+F20+G20</f>
        <v>7518320</v>
      </c>
      <c r="N37" s="42">
        <f>B20</f>
        <v>7852000</v>
      </c>
      <c r="O37" s="16"/>
    </row>
    <row r="38" spans="1:15">
      <c r="A38" s="9" t="s">
        <v>45</v>
      </c>
      <c r="B38" s="10">
        <f t="shared" si="1"/>
        <v>91202965</v>
      </c>
      <c r="C38" s="10">
        <f t="shared" si="2"/>
        <v>33722773</v>
      </c>
      <c r="D38" s="10">
        <f t="shared" si="3"/>
        <v>31203349</v>
      </c>
      <c r="E38" s="10">
        <f t="shared" si="4"/>
        <v>29150485</v>
      </c>
      <c r="F38" s="10">
        <f t="shared" si="5"/>
        <v>22297885</v>
      </c>
      <c r="G38" s="10">
        <f t="shared" si="6"/>
        <v>19096117</v>
      </c>
      <c r="H38" s="10">
        <f t="shared" si="7"/>
        <v>19084453</v>
      </c>
      <c r="I38" s="10">
        <f>I37*D21+F21+G21</f>
        <v>18992599</v>
      </c>
      <c r="J38" s="10">
        <f>J37*D21+F21+G21</f>
        <v>20175037</v>
      </c>
      <c r="K38" s="10">
        <f>D21*K37+F21+G21</f>
        <v>21041008</v>
      </c>
      <c r="L38" s="17">
        <f>D21*L37+F21+G21</f>
        <v>21894424</v>
      </c>
      <c r="M38" s="17">
        <f>D21*M37+F21+G21</f>
        <v>22984720</v>
      </c>
      <c r="N38" s="17">
        <f>B20*D21+F21+G21</f>
        <v>23985760</v>
      </c>
      <c r="O38" s="42">
        <f>B21</f>
        <v>24762204</v>
      </c>
    </row>
    <row r="40" spans="1:15" ht="12.75" customHeight="1">
      <c r="A40" s="157" t="s">
        <v>59</v>
      </c>
      <c r="B40" s="158"/>
      <c r="C40" s="158"/>
      <c r="D40" s="158"/>
      <c r="E40" s="158"/>
      <c r="F40" s="158"/>
      <c r="G40" s="158"/>
      <c r="H40" s="2"/>
      <c r="I40" s="2"/>
      <c r="J40" s="2"/>
      <c r="K40" s="2"/>
      <c r="L40" s="2"/>
    </row>
    <row r="41" spans="1:15" ht="25.5">
      <c r="A41" s="21"/>
      <c r="B41" s="3" t="s">
        <v>48</v>
      </c>
      <c r="C41" s="3" t="s">
        <v>62</v>
      </c>
      <c r="D41" s="3" t="s">
        <v>61</v>
      </c>
      <c r="E41" s="3" t="s">
        <v>51</v>
      </c>
      <c r="F41" s="3" t="s">
        <v>63</v>
      </c>
      <c r="G41" s="3" t="s">
        <v>64</v>
      </c>
      <c r="H41" s="2"/>
      <c r="I41" s="2"/>
      <c r="J41" s="2"/>
      <c r="K41" s="2"/>
      <c r="L41" s="2"/>
    </row>
    <row r="42" spans="1:15">
      <c r="A42" s="9" t="s">
        <v>18</v>
      </c>
      <c r="B42" s="10">
        <f>C8</f>
        <v>561.85</v>
      </c>
      <c r="C42" s="10" t="s">
        <v>15</v>
      </c>
      <c r="D42" s="10" t="s">
        <v>15</v>
      </c>
      <c r="E42" s="22" t="s">
        <v>15</v>
      </c>
      <c r="F42" s="25" t="s">
        <v>15</v>
      </c>
      <c r="G42" s="10" t="s">
        <v>15</v>
      </c>
      <c r="H42" s="2"/>
      <c r="I42" s="2"/>
      <c r="J42" s="2"/>
      <c r="K42" s="2"/>
      <c r="L42" s="2"/>
    </row>
    <row r="43" spans="1:15">
      <c r="A43" s="9" t="s">
        <v>19</v>
      </c>
      <c r="B43" s="10">
        <f t="shared" ref="B43:B55" si="8">C9</f>
        <v>85</v>
      </c>
      <c r="C43" s="10">
        <f>MIN(26:26)</f>
        <v>100</v>
      </c>
      <c r="D43" s="7">
        <f>B43-C43</f>
        <v>-15</v>
      </c>
      <c r="E43" s="22">
        <f>D43/C43</f>
        <v>-0.15</v>
      </c>
      <c r="F43" s="26">
        <f>ROUNDDOWN($D$2/C43, 0)</f>
        <v>81000</v>
      </c>
      <c r="G43" s="27">
        <f>D43*F43</f>
        <v>-1215000</v>
      </c>
      <c r="H43" s="2"/>
      <c r="I43" s="2"/>
      <c r="J43" s="2"/>
      <c r="K43" s="2"/>
      <c r="L43" s="2"/>
    </row>
    <row r="44" spans="1:15">
      <c r="A44" s="9" t="s">
        <v>17</v>
      </c>
      <c r="B44" s="10">
        <f t="shared" si="8"/>
        <v>99.45</v>
      </c>
      <c r="C44" s="10">
        <f t="shared" ref="C44:C55" si="9">MIN(27:27)</f>
        <v>117</v>
      </c>
      <c r="D44" s="7">
        <f>B44-C44</f>
        <v>-17.549999999999997</v>
      </c>
      <c r="E44" s="22">
        <f t="shared" ref="E44:E55" si="10">D44/C44</f>
        <v>-0.14999999999999997</v>
      </c>
      <c r="F44" s="26">
        <f t="shared" ref="F44:F55" si="11">ROUNDDOWN($D$2/C44, 0)</f>
        <v>69230</v>
      </c>
      <c r="G44" s="27">
        <f t="shared" ref="G44:G55" si="12">D44*F44</f>
        <v>-1214986.4999999998</v>
      </c>
      <c r="H44" s="2"/>
      <c r="I44" s="2"/>
      <c r="J44" s="2"/>
      <c r="K44" s="2"/>
      <c r="L44" s="2"/>
    </row>
    <row r="45" spans="1:15">
      <c r="A45" s="9" t="s">
        <v>12</v>
      </c>
      <c r="B45" s="10">
        <f t="shared" si="8"/>
        <v>83.3</v>
      </c>
      <c r="C45" s="10">
        <f t="shared" si="9"/>
        <v>98</v>
      </c>
      <c r="D45" s="7">
        <f t="shared" ref="D45:D55" si="13">B45-C45</f>
        <v>-14.700000000000003</v>
      </c>
      <c r="E45" s="22">
        <f t="shared" si="10"/>
        <v>-0.15000000000000002</v>
      </c>
      <c r="F45" s="26">
        <f t="shared" si="11"/>
        <v>82653</v>
      </c>
      <c r="G45" s="27">
        <f t="shared" si="12"/>
        <v>-1214999.1000000003</v>
      </c>
      <c r="H45" s="2"/>
      <c r="I45" s="2"/>
      <c r="J45" s="2"/>
      <c r="K45" s="2"/>
      <c r="L45" s="2"/>
    </row>
    <row r="46" spans="1:15">
      <c r="A46" s="9" t="s">
        <v>11</v>
      </c>
      <c r="B46" s="10">
        <f t="shared" si="8"/>
        <v>69.7</v>
      </c>
      <c r="C46" s="10">
        <f t="shared" si="9"/>
        <v>82</v>
      </c>
      <c r="D46" s="7">
        <f t="shared" si="13"/>
        <v>-12.299999999999997</v>
      </c>
      <c r="E46" s="22">
        <f t="shared" si="10"/>
        <v>-0.14999999999999997</v>
      </c>
      <c r="F46" s="26">
        <f t="shared" si="11"/>
        <v>98780</v>
      </c>
      <c r="G46" s="27">
        <f t="shared" si="12"/>
        <v>-1214993.9999999998</v>
      </c>
      <c r="H46" s="2"/>
      <c r="I46" s="2"/>
      <c r="J46" s="2"/>
      <c r="K46" s="2"/>
      <c r="L46" s="2"/>
    </row>
    <row r="47" spans="1:15">
      <c r="A47" s="9" t="s">
        <v>10</v>
      </c>
      <c r="B47" s="10">
        <f t="shared" si="8"/>
        <v>120.7</v>
      </c>
      <c r="C47" s="10">
        <f t="shared" si="9"/>
        <v>142</v>
      </c>
      <c r="D47" s="7">
        <f t="shared" si="13"/>
        <v>-21.299999999999997</v>
      </c>
      <c r="E47" s="22">
        <f t="shared" si="10"/>
        <v>-0.14999999999999997</v>
      </c>
      <c r="F47" s="26">
        <f t="shared" si="11"/>
        <v>57042</v>
      </c>
      <c r="G47" s="27">
        <f t="shared" si="12"/>
        <v>-1214994.5999999999</v>
      </c>
      <c r="H47" s="2"/>
      <c r="I47" s="2"/>
      <c r="J47" s="2"/>
      <c r="K47" s="2"/>
      <c r="L47" s="2"/>
    </row>
    <row r="48" spans="1:15">
      <c r="A48" s="9" t="s">
        <v>9</v>
      </c>
      <c r="B48" s="10">
        <f t="shared" si="8"/>
        <v>562.69999999999993</v>
      </c>
      <c r="C48" s="10">
        <f t="shared" si="9"/>
        <v>662</v>
      </c>
      <c r="D48" s="7">
        <f t="shared" si="13"/>
        <v>-99.300000000000068</v>
      </c>
      <c r="E48" s="22">
        <f t="shared" si="10"/>
        <v>-0.15000000000000011</v>
      </c>
      <c r="F48" s="26">
        <f t="shared" si="11"/>
        <v>12235</v>
      </c>
      <c r="G48" s="27">
        <f t="shared" si="12"/>
        <v>-1214935.5000000009</v>
      </c>
      <c r="H48" s="2"/>
      <c r="I48" s="2"/>
      <c r="J48" s="2"/>
      <c r="K48" s="2"/>
      <c r="L48" s="2"/>
    </row>
    <row r="49" spans="1:12">
      <c r="A49" s="9" t="s">
        <v>4</v>
      </c>
      <c r="B49" s="10">
        <f t="shared" si="8"/>
        <v>1359.1499999999999</v>
      </c>
      <c r="C49" s="10">
        <f t="shared" si="9"/>
        <v>1599</v>
      </c>
      <c r="D49" s="7">
        <f t="shared" si="13"/>
        <v>-239.85000000000014</v>
      </c>
      <c r="E49" s="22">
        <f t="shared" si="10"/>
        <v>-0.15000000000000008</v>
      </c>
      <c r="F49" s="26">
        <f t="shared" si="11"/>
        <v>5065</v>
      </c>
      <c r="G49" s="27">
        <f t="shared" si="12"/>
        <v>-1214840.2500000007</v>
      </c>
      <c r="H49" s="2"/>
      <c r="I49" s="2"/>
      <c r="J49" s="2"/>
      <c r="K49" s="2"/>
      <c r="L49" s="2"/>
    </row>
    <row r="50" spans="1:12">
      <c r="A50" s="9" t="s">
        <v>3</v>
      </c>
      <c r="B50" s="10">
        <f t="shared" si="8"/>
        <v>37507.949999999997</v>
      </c>
      <c r="C50" s="10">
        <f t="shared" si="9"/>
        <v>39261</v>
      </c>
      <c r="D50" s="7">
        <f t="shared" si="13"/>
        <v>-1753.0500000000029</v>
      </c>
      <c r="E50" s="22">
        <f t="shared" si="10"/>
        <v>-4.4651180560862001E-2</v>
      </c>
      <c r="F50" s="26">
        <f t="shared" si="11"/>
        <v>206</v>
      </c>
      <c r="G50" s="27">
        <f t="shared" si="12"/>
        <v>-361128.30000000063</v>
      </c>
      <c r="H50" s="2"/>
      <c r="I50" s="2"/>
      <c r="J50" s="2"/>
      <c r="K50" s="2"/>
      <c r="L50" s="2"/>
    </row>
    <row r="51" spans="1:12">
      <c r="A51" s="9" t="s">
        <v>2</v>
      </c>
      <c r="B51" s="10">
        <f t="shared" si="8"/>
        <v>171700</v>
      </c>
      <c r="C51" s="10">
        <f t="shared" si="9"/>
        <v>176711</v>
      </c>
      <c r="D51" s="7">
        <f t="shared" si="13"/>
        <v>-5011</v>
      </c>
      <c r="E51" s="22">
        <f t="shared" si="10"/>
        <v>-2.8357034932743292E-2</v>
      </c>
      <c r="F51" s="26">
        <f t="shared" si="11"/>
        <v>45</v>
      </c>
      <c r="G51" s="27">
        <f t="shared" si="12"/>
        <v>-225495</v>
      </c>
      <c r="H51" s="2"/>
      <c r="I51" s="2"/>
      <c r="J51" s="2"/>
      <c r="K51" s="2"/>
      <c r="L51" s="2"/>
    </row>
    <row r="52" spans="1:12">
      <c r="A52" s="9" t="s">
        <v>1</v>
      </c>
      <c r="B52" s="10">
        <f t="shared" si="8"/>
        <v>621350</v>
      </c>
      <c r="C52" s="10">
        <f t="shared" si="9"/>
        <v>623525</v>
      </c>
      <c r="D52" s="7">
        <f t="shared" si="13"/>
        <v>-2175</v>
      </c>
      <c r="E52" s="22">
        <f t="shared" si="10"/>
        <v>-3.4882322280582172E-3</v>
      </c>
      <c r="F52" s="26">
        <f t="shared" si="11"/>
        <v>12</v>
      </c>
      <c r="G52" s="27">
        <f t="shared" si="12"/>
        <v>-26100</v>
      </c>
      <c r="H52" s="2"/>
      <c r="I52" s="2"/>
      <c r="J52" s="2"/>
      <c r="K52" s="2"/>
      <c r="L52" s="2"/>
    </row>
    <row r="53" spans="1:12">
      <c r="A53" s="9" t="s">
        <v>41</v>
      </c>
      <c r="B53" s="10">
        <f t="shared" si="8"/>
        <v>2067200</v>
      </c>
      <c r="C53" s="10">
        <f t="shared" si="9"/>
        <v>1988431</v>
      </c>
      <c r="D53" s="7">
        <f t="shared" si="13"/>
        <v>78769</v>
      </c>
      <c r="E53" s="22">
        <f t="shared" si="10"/>
        <v>3.9613645130255969E-2</v>
      </c>
      <c r="F53" s="26">
        <f t="shared" si="11"/>
        <v>4</v>
      </c>
      <c r="G53" s="27">
        <f t="shared" si="12"/>
        <v>315076</v>
      </c>
      <c r="H53" s="2"/>
      <c r="I53" s="2"/>
      <c r="J53" s="2"/>
      <c r="K53" s="2"/>
      <c r="L53" s="2"/>
    </row>
    <row r="54" spans="1:12">
      <c r="A54" s="9" t="s">
        <v>44</v>
      </c>
      <c r="B54" s="10">
        <f t="shared" si="8"/>
        <v>6674200</v>
      </c>
      <c r="C54" s="10">
        <f t="shared" si="9"/>
        <v>6187613</v>
      </c>
      <c r="D54" s="7">
        <f t="shared" si="13"/>
        <v>486587</v>
      </c>
      <c r="E54" s="22">
        <f t="shared" si="10"/>
        <v>7.8638887079718792E-2</v>
      </c>
      <c r="F54" s="26">
        <f t="shared" si="11"/>
        <v>1</v>
      </c>
      <c r="G54" s="27">
        <f t="shared" si="12"/>
        <v>486587</v>
      </c>
      <c r="H54" s="2"/>
      <c r="I54" s="2"/>
      <c r="J54" s="2"/>
      <c r="K54" s="2"/>
      <c r="L54" s="2"/>
    </row>
    <row r="55" spans="1:12">
      <c r="A55" s="9" t="s">
        <v>45</v>
      </c>
      <c r="B55" s="10">
        <f t="shared" si="8"/>
        <v>21047873.399999999</v>
      </c>
      <c r="C55" s="10">
        <f t="shared" si="9"/>
        <v>18992599</v>
      </c>
      <c r="D55" s="7">
        <f t="shared" si="13"/>
        <v>2055274.3999999985</v>
      </c>
      <c r="E55" s="22">
        <f t="shared" si="10"/>
        <v>0.10821448923341132</v>
      </c>
      <c r="F55" s="26">
        <f t="shared" si="11"/>
        <v>0</v>
      </c>
      <c r="G55" s="27">
        <f t="shared" si="12"/>
        <v>0</v>
      </c>
      <c r="H55" s="2"/>
      <c r="I55" s="2"/>
      <c r="J55" s="2"/>
      <c r="K55" s="2"/>
      <c r="L55" s="2"/>
    </row>
    <row r="57" spans="1:12" ht="12.75" customHeight="1">
      <c r="A57" s="156" t="s">
        <v>57</v>
      </c>
      <c r="B57" s="156"/>
      <c r="C57" s="156"/>
      <c r="D57" s="156"/>
      <c r="E57" s="156"/>
    </row>
    <row r="58" spans="1:12">
      <c r="A58" s="23"/>
      <c r="B58" s="3" t="s">
        <v>22</v>
      </c>
      <c r="C58" s="3" t="s">
        <v>52</v>
      </c>
      <c r="D58" s="3" t="s">
        <v>54</v>
      </c>
      <c r="E58" s="3" t="s">
        <v>25</v>
      </c>
    </row>
    <row r="59" spans="1:12">
      <c r="A59" s="9" t="s">
        <v>1</v>
      </c>
      <c r="B59" s="6">
        <v>27</v>
      </c>
      <c r="C59" s="6" t="s">
        <v>53</v>
      </c>
      <c r="D59" s="6">
        <v>54</v>
      </c>
      <c r="E59" s="6" t="s">
        <v>26</v>
      </c>
    </row>
    <row r="60" spans="1:12">
      <c r="A60" s="9" t="s">
        <v>2</v>
      </c>
      <c r="B60" s="6">
        <v>9</v>
      </c>
      <c r="C60" s="6" t="s">
        <v>53</v>
      </c>
      <c r="D60" s="6">
        <v>15</v>
      </c>
      <c r="E60" s="6" t="s">
        <v>26</v>
      </c>
    </row>
    <row r="62" spans="1:12">
      <c r="A62" s="156" t="s">
        <v>74</v>
      </c>
      <c r="B62" s="156"/>
      <c r="C62" s="156"/>
      <c r="D62" s="156"/>
      <c r="E62" s="156"/>
    </row>
    <row r="63" spans="1:12">
      <c r="A63" s="8" t="s">
        <v>70</v>
      </c>
      <c r="B63" s="8" t="s">
        <v>71</v>
      </c>
      <c r="C63" s="8" t="s">
        <v>72</v>
      </c>
      <c r="D63" s="8" t="s">
        <v>48</v>
      </c>
      <c r="E63" s="8" t="s">
        <v>64</v>
      </c>
    </row>
    <row r="64" spans="1:12" ht="15">
      <c r="A64" s="123" t="s">
        <v>69</v>
      </c>
      <c r="B64" s="125">
        <f>83*3*3</f>
        <v>747</v>
      </c>
      <c r="C64" s="124">
        <v>0</v>
      </c>
      <c r="D64" s="39">
        <f>C15*B64</f>
        <v>1015285.0499999999</v>
      </c>
      <c r="E64" s="39">
        <f>D64-C64</f>
        <v>1015285.0499999999</v>
      </c>
    </row>
    <row r="65" spans="1:5">
      <c r="A65" s="123" t="s">
        <v>73</v>
      </c>
      <c r="B65" s="122">
        <f t="shared" ref="B65:B69" si="14">ROUNDDOWN(B64/D16, 0)</f>
        <v>249</v>
      </c>
      <c r="C65" s="39">
        <f>G16*B65+C64</f>
        <v>7470000</v>
      </c>
      <c r="D65" s="39">
        <f t="shared" ref="D65:D70" si="15">C16*B65</f>
        <v>9339479.5499999989</v>
      </c>
      <c r="E65" s="39">
        <f t="shared" ref="E65:E70" si="16">D65-C65</f>
        <v>1869479.5499999989</v>
      </c>
    </row>
    <row r="66" spans="1:5">
      <c r="A66" s="123" t="s">
        <v>75</v>
      </c>
      <c r="B66" s="122">
        <f t="shared" si="14"/>
        <v>83</v>
      </c>
      <c r="C66" s="39">
        <f t="shared" ref="C66:C70" si="17">G17*B66+C65</f>
        <v>11620000</v>
      </c>
      <c r="D66" s="39">
        <f t="shared" si="15"/>
        <v>14251100</v>
      </c>
      <c r="E66" s="39">
        <f t="shared" si="16"/>
        <v>2631100</v>
      </c>
    </row>
    <row r="67" spans="1:5">
      <c r="A67" s="123" t="s">
        <v>76</v>
      </c>
      <c r="B67" s="122">
        <f t="shared" si="14"/>
        <v>27</v>
      </c>
      <c r="C67" s="39">
        <f t="shared" si="17"/>
        <v>13780000</v>
      </c>
      <c r="D67" s="39">
        <f t="shared" si="15"/>
        <v>16776450</v>
      </c>
      <c r="E67" s="39">
        <f t="shared" si="16"/>
        <v>2996450</v>
      </c>
    </row>
    <row r="68" spans="1:5">
      <c r="A68" s="123" t="s">
        <v>225</v>
      </c>
      <c r="B68" s="122">
        <f t="shared" si="14"/>
        <v>9</v>
      </c>
      <c r="C68" s="39">
        <f t="shared" si="17"/>
        <v>14680000</v>
      </c>
      <c r="D68" s="39">
        <f t="shared" si="15"/>
        <v>18604800</v>
      </c>
      <c r="E68" s="39">
        <f t="shared" si="16"/>
        <v>3924800</v>
      </c>
    </row>
    <row r="69" spans="1:5">
      <c r="A69" s="123" t="s">
        <v>226</v>
      </c>
      <c r="B69" s="122">
        <f t="shared" si="14"/>
        <v>3</v>
      </c>
      <c r="C69" s="39">
        <f t="shared" si="17"/>
        <v>15280000</v>
      </c>
      <c r="D69" s="39">
        <f t="shared" si="15"/>
        <v>20022600</v>
      </c>
      <c r="E69" s="39">
        <f t="shared" si="16"/>
        <v>4742600</v>
      </c>
    </row>
    <row r="70" spans="1:5">
      <c r="A70" s="123" t="s">
        <v>227</v>
      </c>
      <c r="B70" s="122">
        <f>ROUNDDOWN(B69/D21, 0)</f>
        <v>1</v>
      </c>
      <c r="C70" s="39">
        <f t="shared" si="17"/>
        <v>15680000</v>
      </c>
      <c r="D70" s="39">
        <f t="shared" si="15"/>
        <v>21047873.399999999</v>
      </c>
      <c r="E70" s="39">
        <f t="shared" si="16"/>
        <v>5367873.3999999985</v>
      </c>
    </row>
  </sheetData>
  <sheetProtection sheet="1" objects="1" scenarios="1" selectLockedCells="1"/>
  <mergeCells count="9">
    <mergeCell ref="A62:E62"/>
    <mergeCell ref="A57:E57"/>
    <mergeCell ref="D1:E1"/>
    <mergeCell ref="D2:E2"/>
    <mergeCell ref="A40:G40"/>
    <mergeCell ref="A1:B1"/>
    <mergeCell ref="B6:C6"/>
    <mergeCell ref="D6:G6"/>
    <mergeCell ref="A23:O23"/>
  </mergeCells>
  <conditionalFormatting sqref="D42:D55">
    <cfRule type="top10" dxfId="48" priority="24" rank="2"/>
  </conditionalFormatting>
  <conditionalFormatting sqref="E42:E55">
    <cfRule type="top10" dxfId="47" priority="23" rank="2"/>
  </conditionalFormatting>
  <conditionalFormatting sqref="D42:E55 F42:G42">
    <cfRule type="cellIs" dxfId="46" priority="22" operator="lessThan">
      <formula>0</formula>
    </cfRule>
  </conditionalFormatting>
  <conditionalFormatting sqref="F42">
    <cfRule type="top10" dxfId="45" priority="21" rank="2"/>
  </conditionalFormatting>
  <conditionalFormatting sqref="G42">
    <cfRule type="top10" dxfId="44" priority="19" rank="2"/>
  </conditionalFormatting>
  <conditionalFormatting sqref="G43:G55">
    <cfRule type="top10" dxfId="43" priority="16" rank="2"/>
    <cfRule type="cellIs" dxfId="42" priority="17" operator="lessThan">
      <formula>0</formula>
    </cfRule>
  </conditionalFormatting>
  <conditionalFormatting sqref="B25">
    <cfRule type="top10" dxfId="41" priority="15" bottom="1" rank="1"/>
  </conditionalFormatting>
  <conditionalFormatting sqref="B26:C26">
    <cfRule type="top10" dxfId="40" priority="14" bottom="1" rank="1"/>
  </conditionalFormatting>
  <conditionalFormatting sqref="B27:D27">
    <cfRule type="top10" dxfId="39" priority="13" bottom="1" rank="1"/>
  </conditionalFormatting>
  <conditionalFormatting sqref="B28:E28">
    <cfRule type="top10" dxfId="38" priority="12" bottom="1" rank="1"/>
  </conditionalFormatting>
  <conditionalFormatting sqref="B29:F29">
    <cfRule type="top10" dxfId="37" priority="11" bottom="1" rank="1"/>
  </conditionalFormatting>
  <conditionalFormatting sqref="B30:G30">
    <cfRule type="top10" dxfId="36" priority="10" bottom="1" rank="1"/>
  </conditionalFormatting>
  <conditionalFormatting sqref="B31:H31">
    <cfRule type="top10" dxfId="35" priority="9" bottom="1" rank="1"/>
  </conditionalFormatting>
  <conditionalFormatting sqref="B32:I32">
    <cfRule type="top10" dxfId="34" priority="8" bottom="1" rank="1"/>
  </conditionalFormatting>
  <conditionalFormatting sqref="B33:J33">
    <cfRule type="top10" dxfId="33" priority="7" bottom="1" rank="1"/>
  </conditionalFormatting>
  <conditionalFormatting sqref="B34:K34">
    <cfRule type="top10" dxfId="32" priority="6" bottom="1" rank="1"/>
  </conditionalFormatting>
  <conditionalFormatting sqref="B35:L35">
    <cfRule type="top10" dxfId="31" priority="5" bottom="1" rank="1"/>
  </conditionalFormatting>
  <conditionalFormatting sqref="B36:M36">
    <cfRule type="top10" dxfId="30" priority="4" bottom="1" rank="1"/>
  </conditionalFormatting>
  <conditionalFormatting sqref="B37:N37">
    <cfRule type="top10" dxfId="29" priority="3" bottom="1" rank="1"/>
  </conditionalFormatting>
  <conditionalFormatting sqref="B38:O38">
    <cfRule type="top10" dxfId="28" priority="2" bottom="1" rank="1"/>
  </conditionalFormatting>
  <conditionalFormatting sqref="E64:E70">
    <cfRule type="top10" dxfId="27" priority="1" rank="1"/>
  </conditionalFormatting>
  <dataValidations count="1">
    <dataValidation allowBlank="1" showInputMessage="1" showErrorMessage="1" prompt="Input how many flawless squares you have" sqref="B64"/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O71"/>
  <sheetViews>
    <sheetView topLeftCell="A37" zoomScale="85" zoomScaleNormal="85" workbookViewId="0">
      <selection activeCell="D49" sqref="D49"/>
    </sheetView>
  </sheetViews>
  <sheetFormatPr defaultColWidth="11.7109375" defaultRowHeight="12.75"/>
  <cols>
    <col min="1" max="1" width="21.5703125" style="1" customWidth="1"/>
    <col min="2" max="2" width="12.28515625" style="1" customWidth="1"/>
    <col min="3" max="3" width="13.42578125" style="1" bestFit="1" customWidth="1"/>
    <col min="4" max="4" width="11.28515625" style="1" bestFit="1" customWidth="1"/>
    <col min="5" max="5" width="12.5703125" style="1" bestFit="1" customWidth="1"/>
    <col min="6" max="10" width="12.28515625" style="1" customWidth="1"/>
    <col min="11" max="11" width="13.42578125" style="1" bestFit="1" customWidth="1"/>
    <col min="12" max="12" width="12.28515625" style="1" customWidth="1"/>
    <col min="13" max="13" width="12.28515625" style="2" customWidth="1"/>
    <col min="14" max="16384" width="11.7109375" style="2"/>
  </cols>
  <sheetData>
    <row r="1" spans="1:12" ht="12.75" customHeight="1">
      <c r="A1" s="145" t="s">
        <v>43</v>
      </c>
      <c r="B1" s="145"/>
      <c r="D1" s="147" t="s">
        <v>60</v>
      </c>
      <c r="E1" s="147"/>
      <c r="F1" s="12"/>
    </row>
    <row r="2" spans="1:12">
      <c r="A2" s="13" t="s">
        <v>23</v>
      </c>
      <c r="B2" s="4">
        <v>1006</v>
      </c>
      <c r="D2" s="160">
        <v>8100000</v>
      </c>
      <c r="E2" s="160"/>
      <c r="F2" s="12"/>
    </row>
    <row r="3" spans="1:12">
      <c r="A3" s="13" t="s">
        <v>24</v>
      </c>
      <c r="B3" s="4">
        <v>301</v>
      </c>
      <c r="F3" s="12"/>
    </row>
    <row r="4" spans="1:12">
      <c r="A4" s="13" t="s">
        <v>5</v>
      </c>
      <c r="B4" s="4">
        <v>1488</v>
      </c>
      <c r="F4" s="12"/>
    </row>
    <row r="5" spans="1:12">
      <c r="F5" s="12"/>
      <c r="G5" s="15"/>
      <c r="K5" s="2"/>
      <c r="L5" s="2"/>
    </row>
    <row r="6" spans="1:12" customFormat="1" ht="15">
      <c r="A6" s="20"/>
      <c r="B6" s="151" t="s">
        <v>6</v>
      </c>
      <c r="C6" s="152"/>
      <c r="D6" s="153" t="s">
        <v>16</v>
      </c>
      <c r="E6" s="153"/>
      <c r="F6" s="153"/>
      <c r="G6" s="153"/>
    </row>
    <row r="7" spans="1:12" customFormat="1" ht="25.5">
      <c r="A7" s="3" t="s">
        <v>0</v>
      </c>
      <c r="B7" s="30" t="s">
        <v>37</v>
      </c>
      <c r="C7" s="30" t="s">
        <v>68</v>
      </c>
      <c r="D7" s="3" t="s">
        <v>13</v>
      </c>
      <c r="E7" s="3" t="s">
        <v>27</v>
      </c>
      <c r="F7" s="3" t="s">
        <v>28</v>
      </c>
      <c r="G7" s="3" t="s">
        <v>14</v>
      </c>
    </row>
    <row r="8" spans="1:12" customFormat="1" ht="15">
      <c r="A8" s="4" t="s">
        <v>18</v>
      </c>
      <c r="B8" s="10">
        <v>750</v>
      </c>
      <c r="C8" s="14">
        <f>B8*0.85</f>
        <v>637.5</v>
      </c>
      <c r="D8" s="6" t="s">
        <v>15</v>
      </c>
      <c r="E8" s="6" t="s">
        <v>15</v>
      </c>
      <c r="F8" s="10" t="s">
        <v>15</v>
      </c>
      <c r="G8" s="10" t="s">
        <v>15</v>
      </c>
    </row>
    <row r="9" spans="1:12" customFormat="1" ht="15">
      <c r="A9" s="4" t="s">
        <v>19</v>
      </c>
      <c r="B9" s="10">
        <v>150</v>
      </c>
      <c r="C9" s="14">
        <f t="shared" ref="C9:C21" si="0">B9*0.85</f>
        <v>127.5</v>
      </c>
      <c r="D9" s="6">
        <v>2</v>
      </c>
      <c r="E9" s="6" t="s">
        <v>15</v>
      </c>
      <c r="F9" s="10">
        <v>0</v>
      </c>
      <c r="G9" s="10">
        <v>10</v>
      </c>
    </row>
    <row r="10" spans="1:12" customFormat="1" ht="15">
      <c r="A10" s="4" t="s">
        <v>17</v>
      </c>
      <c r="B10" s="10">
        <v>126</v>
      </c>
      <c r="C10" s="14">
        <f t="shared" si="0"/>
        <v>107.1</v>
      </c>
      <c r="D10" s="6">
        <v>2</v>
      </c>
      <c r="E10" s="6" t="s">
        <v>15</v>
      </c>
      <c r="F10" s="10">
        <v>0</v>
      </c>
      <c r="G10" s="10">
        <v>25</v>
      </c>
    </row>
    <row r="11" spans="1:12" customFormat="1" ht="15">
      <c r="A11" s="4" t="s">
        <v>12</v>
      </c>
      <c r="B11" s="10">
        <v>110</v>
      </c>
      <c r="C11" s="14">
        <f t="shared" si="0"/>
        <v>93.5</v>
      </c>
      <c r="D11" s="6">
        <v>2</v>
      </c>
      <c r="E11" s="6" t="s">
        <v>15</v>
      </c>
      <c r="F11" s="10">
        <v>0</v>
      </c>
      <c r="G11" s="10">
        <v>40</v>
      </c>
    </row>
    <row r="12" spans="1:12" customFormat="1" ht="15">
      <c r="A12" s="4" t="s">
        <v>11</v>
      </c>
      <c r="B12" s="10">
        <v>246</v>
      </c>
      <c r="C12" s="14">
        <f t="shared" si="0"/>
        <v>209.1</v>
      </c>
      <c r="D12" s="6">
        <v>2</v>
      </c>
      <c r="E12" s="6" t="s">
        <v>29</v>
      </c>
      <c r="F12" s="10">
        <f>B2</f>
        <v>1006</v>
      </c>
      <c r="G12" s="10">
        <v>55</v>
      </c>
    </row>
    <row r="13" spans="1:12" customFormat="1" ht="15">
      <c r="A13" s="4" t="s">
        <v>10</v>
      </c>
      <c r="B13" s="10">
        <v>139</v>
      </c>
      <c r="C13" s="14">
        <f t="shared" si="0"/>
        <v>118.14999999999999</v>
      </c>
      <c r="D13" s="6">
        <v>2</v>
      </c>
      <c r="E13" s="6" t="s">
        <v>29</v>
      </c>
      <c r="F13" s="10">
        <f>B2</f>
        <v>1006</v>
      </c>
      <c r="G13" s="10">
        <v>70</v>
      </c>
    </row>
    <row r="14" spans="1:12" customFormat="1" ht="15">
      <c r="A14" s="4" t="s">
        <v>9</v>
      </c>
      <c r="B14" s="10">
        <v>478</v>
      </c>
      <c r="C14" s="14">
        <f t="shared" si="0"/>
        <v>406.3</v>
      </c>
      <c r="D14" s="6">
        <v>2</v>
      </c>
      <c r="E14" s="6" t="s">
        <v>30</v>
      </c>
      <c r="F14" s="10">
        <f>B3</f>
        <v>301</v>
      </c>
      <c r="G14" s="10">
        <v>85</v>
      </c>
    </row>
    <row r="15" spans="1:12" customFormat="1" ht="15">
      <c r="A15" s="4" t="s">
        <v>4</v>
      </c>
      <c r="B15" s="10">
        <v>1250</v>
      </c>
      <c r="C15" s="14">
        <f t="shared" si="0"/>
        <v>1062.5</v>
      </c>
      <c r="D15" s="6">
        <v>2</v>
      </c>
      <c r="E15" s="6" t="s">
        <v>30</v>
      </c>
      <c r="F15" s="10">
        <f>B3</f>
        <v>301</v>
      </c>
      <c r="G15" s="10">
        <v>100</v>
      </c>
    </row>
    <row r="16" spans="1:12" customFormat="1" ht="15">
      <c r="A16" s="4" t="s">
        <v>3</v>
      </c>
      <c r="B16" s="10">
        <v>42081</v>
      </c>
      <c r="C16" s="14">
        <f t="shared" si="0"/>
        <v>35768.85</v>
      </c>
      <c r="D16" s="6">
        <v>3</v>
      </c>
      <c r="E16" s="6" t="s">
        <v>31</v>
      </c>
      <c r="F16" s="10">
        <f>3*B4</f>
        <v>4464</v>
      </c>
      <c r="G16" s="10">
        <v>30000</v>
      </c>
      <c r="H16" s="24"/>
      <c r="I16" s="24"/>
    </row>
    <row r="17" spans="1:15" customFormat="1" ht="15">
      <c r="A17" s="4" t="s">
        <v>2</v>
      </c>
      <c r="B17" s="10">
        <v>195000</v>
      </c>
      <c r="C17" s="14">
        <f t="shared" si="0"/>
        <v>165750</v>
      </c>
      <c r="D17" s="6">
        <v>3</v>
      </c>
      <c r="E17" s="6" t="s">
        <v>32</v>
      </c>
      <c r="F17" s="10">
        <f>6*B4</f>
        <v>8928</v>
      </c>
      <c r="G17" s="10">
        <v>50000</v>
      </c>
      <c r="H17" s="24"/>
      <c r="I17" s="24"/>
    </row>
    <row r="18" spans="1:15" customFormat="1" ht="15">
      <c r="A18" s="4" t="s">
        <v>1</v>
      </c>
      <c r="B18" s="10">
        <v>675000</v>
      </c>
      <c r="C18" s="14">
        <f t="shared" si="0"/>
        <v>573750</v>
      </c>
      <c r="D18" s="6">
        <v>3</v>
      </c>
      <c r="E18" s="6" t="s">
        <v>33</v>
      </c>
      <c r="F18" s="10">
        <f>9*B4</f>
        <v>13392</v>
      </c>
      <c r="G18" s="10">
        <v>80000</v>
      </c>
      <c r="H18" s="24"/>
      <c r="I18" s="24"/>
    </row>
    <row r="19" spans="1:15" customFormat="1" ht="15">
      <c r="A19" s="4" t="s">
        <v>41</v>
      </c>
      <c r="B19" s="10">
        <v>2213416</v>
      </c>
      <c r="C19" s="14">
        <f t="shared" si="0"/>
        <v>1881403.5999999999</v>
      </c>
      <c r="D19" s="6">
        <v>3</v>
      </c>
      <c r="E19" s="6" t="s">
        <v>42</v>
      </c>
      <c r="F19" s="10">
        <f>12*B4</f>
        <v>17856</v>
      </c>
      <c r="G19" s="10">
        <v>100000</v>
      </c>
      <c r="H19" s="24"/>
    </row>
    <row r="20" spans="1:15" customFormat="1" ht="15">
      <c r="A20" s="4" t="s">
        <v>44</v>
      </c>
      <c r="B20" s="10">
        <v>6800000</v>
      </c>
      <c r="C20" s="14">
        <f t="shared" si="0"/>
        <v>5780000</v>
      </c>
      <c r="D20" s="6">
        <v>3</v>
      </c>
      <c r="E20" s="6" t="s">
        <v>47</v>
      </c>
      <c r="F20" s="10">
        <f>15*B4</f>
        <v>22320</v>
      </c>
      <c r="G20" s="10">
        <v>200000</v>
      </c>
    </row>
    <row r="21" spans="1:15" customFormat="1" ht="15">
      <c r="A21" s="4" t="s">
        <v>45</v>
      </c>
      <c r="B21" s="10">
        <v>20158000</v>
      </c>
      <c r="C21" s="14">
        <f t="shared" si="0"/>
        <v>17134300</v>
      </c>
      <c r="D21" s="6">
        <v>3</v>
      </c>
      <c r="E21" s="6" t="s">
        <v>46</v>
      </c>
      <c r="F21" s="10">
        <f>20*B4</f>
        <v>29760</v>
      </c>
      <c r="G21" s="10">
        <v>400000</v>
      </c>
    </row>
    <row r="23" spans="1:15" ht="12.75" customHeight="1">
      <c r="A23" s="159" t="s">
        <v>65</v>
      </c>
      <c r="B23" s="159"/>
      <c r="C23" s="159"/>
      <c r="D23" s="159"/>
      <c r="E23" s="159"/>
      <c r="F23" s="159"/>
      <c r="G23" s="159"/>
      <c r="H23" s="159"/>
      <c r="I23" s="159"/>
      <c r="J23" s="159"/>
      <c r="K23" s="159"/>
      <c r="L23" s="159"/>
      <c r="M23" s="159"/>
      <c r="N23" s="159"/>
      <c r="O23" s="159"/>
    </row>
    <row r="24" spans="1:15" s="5" customFormat="1" ht="25.5">
      <c r="A24" s="8" t="s">
        <v>20</v>
      </c>
      <c r="B24" s="3" t="s">
        <v>18</v>
      </c>
      <c r="C24" s="3" t="s">
        <v>19</v>
      </c>
      <c r="D24" s="3" t="s">
        <v>17</v>
      </c>
      <c r="E24" s="3" t="s">
        <v>12</v>
      </c>
      <c r="F24" s="3" t="s">
        <v>11</v>
      </c>
      <c r="G24" s="3" t="s">
        <v>10</v>
      </c>
      <c r="H24" s="3" t="s">
        <v>9</v>
      </c>
      <c r="I24" s="3" t="s">
        <v>4</v>
      </c>
      <c r="J24" s="3" t="s">
        <v>3</v>
      </c>
      <c r="K24" s="3" t="s">
        <v>2</v>
      </c>
      <c r="L24" s="3" t="s">
        <v>1</v>
      </c>
      <c r="M24" s="3" t="s">
        <v>41</v>
      </c>
      <c r="N24" s="3" t="s">
        <v>44</v>
      </c>
      <c r="O24" s="3" t="s">
        <v>45</v>
      </c>
    </row>
    <row r="25" spans="1:15" ht="12.75" customHeight="1">
      <c r="A25" s="9" t="s">
        <v>18</v>
      </c>
      <c r="B25" s="40">
        <f>B8</f>
        <v>750</v>
      </c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6"/>
      <c r="O25" s="16"/>
    </row>
    <row r="26" spans="1:15" ht="12.75" customHeight="1">
      <c r="A26" s="9" t="s">
        <v>19</v>
      </c>
      <c r="B26" s="10">
        <f>D9*B8+G9+F9</f>
        <v>1510</v>
      </c>
      <c r="C26" s="40">
        <f>B9</f>
        <v>150</v>
      </c>
      <c r="D26" s="19"/>
      <c r="E26" s="31"/>
      <c r="F26" s="32"/>
      <c r="G26" s="32"/>
      <c r="H26" s="32"/>
      <c r="I26" s="32"/>
      <c r="J26" s="32"/>
      <c r="K26" s="32"/>
      <c r="L26" s="32"/>
      <c r="M26" s="32"/>
      <c r="N26" s="33"/>
      <c r="O26" s="16"/>
    </row>
    <row r="27" spans="1:15">
      <c r="A27" s="9" t="s">
        <v>17</v>
      </c>
      <c r="B27" s="10">
        <f t="shared" ref="B27:B38" si="1">D10*B26+G10+F10</f>
        <v>3045</v>
      </c>
      <c r="C27" s="10">
        <f>D10*B9+G10+F10</f>
        <v>325</v>
      </c>
      <c r="D27" s="39">
        <f>B10</f>
        <v>126</v>
      </c>
      <c r="E27" s="34"/>
      <c r="F27" s="35"/>
      <c r="G27" s="35"/>
      <c r="H27" s="35"/>
      <c r="I27" s="35"/>
      <c r="J27" s="35"/>
      <c r="K27" s="35"/>
      <c r="L27" s="35"/>
      <c r="M27" s="35"/>
      <c r="N27" s="36"/>
      <c r="O27" s="16"/>
    </row>
    <row r="28" spans="1:15">
      <c r="A28" s="9" t="s">
        <v>12</v>
      </c>
      <c r="B28" s="10">
        <f t="shared" si="1"/>
        <v>6130</v>
      </c>
      <c r="C28" s="10">
        <f t="shared" ref="C28:C38" si="2">D11*C27+G11+F11</f>
        <v>690</v>
      </c>
      <c r="D28" s="10">
        <f>D11*B10+G11+F11</f>
        <v>292</v>
      </c>
      <c r="E28" s="41">
        <f>B11</f>
        <v>110</v>
      </c>
      <c r="F28" s="37"/>
      <c r="G28" s="37"/>
      <c r="H28" s="37"/>
      <c r="I28" s="37"/>
      <c r="J28" s="37"/>
      <c r="K28" s="37"/>
      <c r="L28" s="37"/>
      <c r="M28" s="37"/>
      <c r="N28" s="38"/>
      <c r="O28" s="16"/>
    </row>
    <row r="29" spans="1:15" ht="12.75" customHeight="1">
      <c r="A29" s="9" t="s">
        <v>11</v>
      </c>
      <c r="B29" s="10">
        <f t="shared" si="1"/>
        <v>13321</v>
      </c>
      <c r="C29" s="10">
        <f t="shared" si="2"/>
        <v>2441</v>
      </c>
      <c r="D29" s="10">
        <f t="shared" ref="D29:D38" si="3">D12*D28+G12+F12</f>
        <v>1645</v>
      </c>
      <c r="E29" s="10">
        <f>D12*B11+G12+F12</f>
        <v>1281</v>
      </c>
      <c r="F29" s="39">
        <f>B12</f>
        <v>246</v>
      </c>
      <c r="G29" s="19"/>
      <c r="H29" s="18"/>
      <c r="I29" s="18"/>
      <c r="J29" s="18"/>
      <c r="K29" s="18"/>
      <c r="L29" s="18"/>
      <c r="M29" s="16"/>
      <c r="N29" s="16"/>
      <c r="O29" s="16"/>
    </row>
    <row r="30" spans="1:15">
      <c r="A30" s="9" t="s">
        <v>10</v>
      </c>
      <c r="B30" s="10">
        <f t="shared" si="1"/>
        <v>27718</v>
      </c>
      <c r="C30" s="10">
        <f t="shared" si="2"/>
        <v>5958</v>
      </c>
      <c r="D30" s="10">
        <f t="shared" si="3"/>
        <v>4366</v>
      </c>
      <c r="E30" s="10">
        <f t="shared" ref="E30:E38" si="4">D13*E29+F13+G13</f>
        <v>3638</v>
      </c>
      <c r="F30" s="10">
        <f>D13*B12+F13+G13</f>
        <v>1568</v>
      </c>
      <c r="G30" s="40">
        <f>B13</f>
        <v>139</v>
      </c>
      <c r="H30" s="19"/>
      <c r="I30" s="19"/>
      <c r="J30" s="19"/>
      <c r="K30" s="19"/>
      <c r="L30" s="19"/>
      <c r="M30" s="16"/>
      <c r="N30" s="16"/>
      <c r="O30" s="16"/>
    </row>
    <row r="31" spans="1:15">
      <c r="A31" s="9" t="s">
        <v>9</v>
      </c>
      <c r="B31" s="10">
        <f t="shared" si="1"/>
        <v>55822</v>
      </c>
      <c r="C31" s="10">
        <f t="shared" si="2"/>
        <v>12302</v>
      </c>
      <c r="D31" s="10">
        <f t="shared" si="3"/>
        <v>9118</v>
      </c>
      <c r="E31" s="10">
        <f t="shared" si="4"/>
        <v>7662</v>
      </c>
      <c r="F31" s="10">
        <f t="shared" ref="F31:F38" si="5">D14*F30+F14+G14</f>
        <v>3522</v>
      </c>
      <c r="G31" s="10">
        <f>D14*B13+F14+G14</f>
        <v>664</v>
      </c>
      <c r="H31" s="39">
        <f>B14</f>
        <v>478</v>
      </c>
      <c r="I31" s="11"/>
      <c r="J31" s="11"/>
      <c r="K31" s="11"/>
      <c r="L31" s="11"/>
      <c r="M31" s="16"/>
      <c r="N31" s="16"/>
      <c r="O31" s="16"/>
    </row>
    <row r="32" spans="1:15">
      <c r="A32" s="9" t="s">
        <v>4</v>
      </c>
      <c r="B32" s="10">
        <f t="shared" si="1"/>
        <v>112045</v>
      </c>
      <c r="C32" s="10">
        <f t="shared" si="2"/>
        <v>25005</v>
      </c>
      <c r="D32" s="10">
        <f t="shared" si="3"/>
        <v>18637</v>
      </c>
      <c r="E32" s="10">
        <f t="shared" si="4"/>
        <v>15725</v>
      </c>
      <c r="F32" s="10">
        <f t="shared" si="5"/>
        <v>7445</v>
      </c>
      <c r="G32" s="10">
        <f t="shared" ref="G32:G38" si="6">D15*G31+F15+G15</f>
        <v>1729</v>
      </c>
      <c r="H32" s="10">
        <f>D15*B14+F15+G15</f>
        <v>1357</v>
      </c>
      <c r="I32" s="39">
        <f>B15</f>
        <v>1250</v>
      </c>
      <c r="J32" s="11"/>
      <c r="K32" s="11"/>
      <c r="L32" s="11"/>
      <c r="M32" s="16"/>
      <c r="N32" s="16"/>
      <c r="O32" s="16"/>
    </row>
    <row r="33" spans="1:15">
      <c r="A33" s="9" t="s">
        <v>3</v>
      </c>
      <c r="B33" s="10">
        <f t="shared" si="1"/>
        <v>370599</v>
      </c>
      <c r="C33" s="10">
        <f t="shared" si="2"/>
        <v>109479</v>
      </c>
      <c r="D33" s="10">
        <f t="shared" si="3"/>
        <v>90375</v>
      </c>
      <c r="E33" s="10">
        <f t="shared" si="4"/>
        <v>81639</v>
      </c>
      <c r="F33" s="10">
        <f t="shared" si="5"/>
        <v>56799</v>
      </c>
      <c r="G33" s="10">
        <f t="shared" si="6"/>
        <v>39651</v>
      </c>
      <c r="H33" s="10">
        <f t="shared" ref="H33:H38" si="7">H32*D16+F16+G16</f>
        <v>38535</v>
      </c>
      <c r="I33" s="10">
        <f>D16*B15+F16+G16</f>
        <v>38214</v>
      </c>
      <c r="J33" s="39">
        <f>B16</f>
        <v>42081</v>
      </c>
      <c r="K33" s="11"/>
      <c r="L33" s="11"/>
      <c r="M33" s="16"/>
      <c r="N33" s="16"/>
      <c r="O33" s="16"/>
    </row>
    <row r="34" spans="1:15">
      <c r="A34" s="9" t="s">
        <v>2</v>
      </c>
      <c r="B34" s="10">
        <f t="shared" si="1"/>
        <v>1170725</v>
      </c>
      <c r="C34" s="10">
        <f t="shared" si="2"/>
        <v>387365</v>
      </c>
      <c r="D34" s="10">
        <f t="shared" si="3"/>
        <v>330053</v>
      </c>
      <c r="E34" s="10">
        <f t="shared" si="4"/>
        <v>303845</v>
      </c>
      <c r="F34" s="10">
        <f t="shared" si="5"/>
        <v>229325</v>
      </c>
      <c r="G34" s="10">
        <f t="shared" si="6"/>
        <v>177881</v>
      </c>
      <c r="H34" s="10">
        <f t="shared" si="7"/>
        <v>174533</v>
      </c>
      <c r="I34" s="10">
        <f>I33*D17+F17+G17</f>
        <v>173570</v>
      </c>
      <c r="J34" s="10">
        <f>D17*B16+F17+G17</f>
        <v>185171</v>
      </c>
      <c r="K34" s="39">
        <f>B17</f>
        <v>195000</v>
      </c>
      <c r="L34" s="11"/>
      <c r="M34" s="16"/>
      <c r="N34" s="16"/>
      <c r="O34" s="16"/>
    </row>
    <row r="35" spans="1:15">
      <c r="A35" s="9" t="s">
        <v>1</v>
      </c>
      <c r="B35" s="10">
        <f t="shared" si="1"/>
        <v>3605567</v>
      </c>
      <c r="C35" s="10">
        <f t="shared" si="2"/>
        <v>1255487</v>
      </c>
      <c r="D35" s="10">
        <f t="shared" si="3"/>
        <v>1083551</v>
      </c>
      <c r="E35" s="10">
        <f t="shared" si="4"/>
        <v>1004927</v>
      </c>
      <c r="F35" s="10">
        <f t="shared" si="5"/>
        <v>781367</v>
      </c>
      <c r="G35" s="10">
        <f t="shared" si="6"/>
        <v>627035</v>
      </c>
      <c r="H35" s="10">
        <f t="shared" si="7"/>
        <v>616991</v>
      </c>
      <c r="I35" s="10">
        <f>I34*D18+F18+G18</f>
        <v>614102</v>
      </c>
      <c r="J35" s="10">
        <f>J34*D18+F18+G18</f>
        <v>648905</v>
      </c>
      <c r="K35" s="10">
        <f>D18*B17+F18+G18</f>
        <v>678392</v>
      </c>
      <c r="L35" s="39">
        <f>B18</f>
        <v>675000</v>
      </c>
      <c r="M35" s="16"/>
      <c r="N35" s="16"/>
      <c r="O35" s="16"/>
    </row>
    <row r="36" spans="1:15">
      <c r="A36" s="9" t="s">
        <v>41</v>
      </c>
      <c r="B36" s="10">
        <f t="shared" si="1"/>
        <v>10934557</v>
      </c>
      <c r="C36" s="10">
        <f t="shared" si="2"/>
        <v>3884317</v>
      </c>
      <c r="D36" s="10">
        <f t="shared" si="3"/>
        <v>3368509</v>
      </c>
      <c r="E36" s="10">
        <f t="shared" si="4"/>
        <v>3132637</v>
      </c>
      <c r="F36" s="10">
        <f t="shared" si="5"/>
        <v>2461957</v>
      </c>
      <c r="G36" s="10">
        <f t="shared" si="6"/>
        <v>1998961</v>
      </c>
      <c r="H36" s="10">
        <f t="shared" si="7"/>
        <v>1968829</v>
      </c>
      <c r="I36" s="10">
        <f>I35*D19+F19+G19</f>
        <v>1960162</v>
      </c>
      <c r="J36" s="10">
        <f>J35*D19+F19+G19</f>
        <v>2064571</v>
      </c>
      <c r="K36" s="10">
        <f>D19*K35+F19+G19</f>
        <v>2153032</v>
      </c>
      <c r="L36" s="17">
        <f>D19*B18+F19+G19</f>
        <v>2142856</v>
      </c>
      <c r="M36" s="42">
        <f>B19</f>
        <v>2213416</v>
      </c>
      <c r="N36" s="16"/>
      <c r="O36" s="16"/>
    </row>
    <row r="37" spans="1:15">
      <c r="A37" s="9" t="s">
        <v>44</v>
      </c>
      <c r="B37" s="10">
        <f t="shared" si="1"/>
        <v>33025991</v>
      </c>
      <c r="C37" s="10">
        <f t="shared" si="2"/>
        <v>11875271</v>
      </c>
      <c r="D37" s="10">
        <f t="shared" si="3"/>
        <v>10327847</v>
      </c>
      <c r="E37" s="10">
        <f t="shared" si="4"/>
        <v>9620231</v>
      </c>
      <c r="F37" s="10">
        <f t="shared" si="5"/>
        <v>7608191</v>
      </c>
      <c r="G37" s="10">
        <f t="shared" si="6"/>
        <v>6219203</v>
      </c>
      <c r="H37" s="10">
        <f t="shared" si="7"/>
        <v>6128807</v>
      </c>
      <c r="I37" s="10">
        <f>I36*D20+F20+G20</f>
        <v>6102806</v>
      </c>
      <c r="J37" s="10">
        <f>J36*D20+F20+G20</f>
        <v>6416033</v>
      </c>
      <c r="K37" s="10">
        <f>D20*K36+F20+G20</f>
        <v>6681416</v>
      </c>
      <c r="L37" s="17">
        <f>D20*L36+F20+G20</f>
        <v>6650888</v>
      </c>
      <c r="M37" s="17">
        <f>B19*D20+F20+G20</f>
        <v>6862568</v>
      </c>
      <c r="N37" s="42">
        <f>B20</f>
        <v>6800000</v>
      </c>
      <c r="O37" s="16"/>
    </row>
    <row r="38" spans="1:15">
      <c r="A38" s="9" t="s">
        <v>45</v>
      </c>
      <c r="B38" s="10">
        <f t="shared" si="1"/>
        <v>99507733</v>
      </c>
      <c r="C38" s="10">
        <f t="shared" si="2"/>
        <v>36055573</v>
      </c>
      <c r="D38" s="10">
        <f t="shared" si="3"/>
        <v>31413301</v>
      </c>
      <c r="E38" s="10">
        <f t="shared" si="4"/>
        <v>29290453</v>
      </c>
      <c r="F38" s="10">
        <f t="shared" si="5"/>
        <v>23254333</v>
      </c>
      <c r="G38" s="10">
        <f t="shared" si="6"/>
        <v>19087369</v>
      </c>
      <c r="H38" s="10">
        <f t="shared" si="7"/>
        <v>18816181</v>
      </c>
      <c r="I38" s="10">
        <f>I37*D21+F21+G21</f>
        <v>18738178</v>
      </c>
      <c r="J38" s="10">
        <f>J37*D21+F21+G21</f>
        <v>19677859</v>
      </c>
      <c r="K38" s="10">
        <f>D21*K37+F21+G21</f>
        <v>20474008</v>
      </c>
      <c r="L38" s="17">
        <f>D21*L37+F21+G21</f>
        <v>20382424</v>
      </c>
      <c r="M38" s="17">
        <f>D21*M37+F21+G21</f>
        <v>21017464</v>
      </c>
      <c r="N38" s="17">
        <f>B20*D21+F21+G21</f>
        <v>20829760</v>
      </c>
      <c r="O38" s="42">
        <f>B21</f>
        <v>20158000</v>
      </c>
    </row>
    <row r="40" spans="1:15" ht="12.75" customHeight="1">
      <c r="A40" s="159" t="s">
        <v>66</v>
      </c>
      <c r="B40" s="159"/>
      <c r="C40" s="159"/>
      <c r="D40" s="159"/>
      <c r="E40" s="159"/>
      <c r="F40" s="159"/>
      <c r="G40" s="159"/>
      <c r="H40" s="2"/>
      <c r="I40" s="2"/>
      <c r="J40" s="2"/>
      <c r="K40" s="2"/>
      <c r="L40" s="2"/>
    </row>
    <row r="41" spans="1:15" ht="25.5">
      <c r="A41" s="21"/>
      <c r="B41" s="3" t="s">
        <v>48</v>
      </c>
      <c r="C41" s="3" t="s">
        <v>62</v>
      </c>
      <c r="D41" s="3" t="s">
        <v>61</v>
      </c>
      <c r="E41" s="3" t="s">
        <v>51</v>
      </c>
      <c r="F41" s="3" t="s">
        <v>63</v>
      </c>
      <c r="G41" s="3" t="s">
        <v>64</v>
      </c>
      <c r="H41" s="2"/>
      <c r="I41" s="2"/>
      <c r="J41" s="2"/>
      <c r="K41" s="2"/>
      <c r="L41" s="2"/>
    </row>
    <row r="42" spans="1:15">
      <c r="A42" s="9" t="s">
        <v>18</v>
      </c>
      <c r="B42" s="10">
        <f>C8</f>
        <v>637.5</v>
      </c>
      <c r="C42" s="10" t="s">
        <v>15</v>
      </c>
      <c r="D42" s="10" t="s">
        <v>15</v>
      </c>
      <c r="E42" s="22" t="s">
        <v>15</v>
      </c>
      <c r="F42" s="25" t="s">
        <v>15</v>
      </c>
      <c r="G42" s="10" t="s">
        <v>15</v>
      </c>
      <c r="H42" s="2"/>
      <c r="I42" s="2"/>
      <c r="J42" s="2"/>
      <c r="K42" s="2"/>
      <c r="L42" s="2"/>
    </row>
    <row r="43" spans="1:15">
      <c r="A43" s="9" t="s">
        <v>19</v>
      </c>
      <c r="B43" s="10">
        <f t="shared" ref="B43:B55" si="8">C9</f>
        <v>127.5</v>
      </c>
      <c r="C43" s="10">
        <f>MIN(26:26)</f>
        <v>150</v>
      </c>
      <c r="D43" s="7">
        <f>B43-C43</f>
        <v>-22.5</v>
      </c>
      <c r="E43" s="22">
        <f>D43/C43</f>
        <v>-0.15</v>
      </c>
      <c r="F43" s="26">
        <f>ROUNDDOWN($D$2/C43, 0)</f>
        <v>54000</v>
      </c>
      <c r="G43" s="27">
        <f>D43*F43</f>
        <v>-1215000</v>
      </c>
      <c r="H43" s="2"/>
      <c r="I43" s="2"/>
      <c r="J43" s="2"/>
      <c r="K43" s="2"/>
      <c r="L43" s="2"/>
    </row>
    <row r="44" spans="1:15">
      <c r="A44" s="9" t="s">
        <v>17</v>
      </c>
      <c r="B44" s="10">
        <f t="shared" si="8"/>
        <v>107.1</v>
      </c>
      <c r="C44" s="10">
        <f t="shared" ref="C44:C55" si="9">MIN(27:27)</f>
        <v>126</v>
      </c>
      <c r="D44" s="7">
        <f>B44-C44</f>
        <v>-18.900000000000006</v>
      </c>
      <c r="E44" s="22">
        <f t="shared" ref="E44:E55" si="10">D44/C44</f>
        <v>-0.15000000000000005</v>
      </c>
      <c r="F44" s="26">
        <f t="shared" ref="F44:F55" si="11">ROUNDDOWN($D$2/C44, 0)</f>
        <v>64285</v>
      </c>
      <c r="G44" s="27">
        <f t="shared" ref="G44:G55" si="12">D44*F44</f>
        <v>-1214986.5000000005</v>
      </c>
      <c r="H44" s="2"/>
      <c r="I44" s="2"/>
      <c r="J44" s="2"/>
      <c r="K44" s="2"/>
      <c r="L44" s="2"/>
    </row>
    <row r="45" spans="1:15">
      <c r="A45" s="9" t="s">
        <v>12</v>
      </c>
      <c r="B45" s="10">
        <f t="shared" si="8"/>
        <v>93.5</v>
      </c>
      <c r="C45" s="10">
        <f t="shared" si="9"/>
        <v>110</v>
      </c>
      <c r="D45" s="7">
        <f t="shared" ref="D45:D55" si="13">B45-C45</f>
        <v>-16.5</v>
      </c>
      <c r="E45" s="22">
        <f t="shared" si="10"/>
        <v>-0.15</v>
      </c>
      <c r="F45" s="26">
        <f t="shared" si="11"/>
        <v>73636</v>
      </c>
      <c r="G45" s="27">
        <f t="shared" si="12"/>
        <v>-1214994</v>
      </c>
      <c r="H45" s="2"/>
      <c r="I45" s="2"/>
      <c r="J45" s="2"/>
      <c r="K45" s="2"/>
      <c r="L45" s="2"/>
    </row>
    <row r="46" spans="1:15">
      <c r="A46" s="9" t="s">
        <v>11</v>
      </c>
      <c r="B46" s="10">
        <f t="shared" si="8"/>
        <v>209.1</v>
      </c>
      <c r="C46" s="10">
        <f t="shared" si="9"/>
        <v>246</v>
      </c>
      <c r="D46" s="7">
        <f t="shared" si="13"/>
        <v>-36.900000000000006</v>
      </c>
      <c r="E46" s="22">
        <f t="shared" si="10"/>
        <v>-0.15000000000000002</v>
      </c>
      <c r="F46" s="26">
        <f t="shared" si="11"/>
        <v>32926</v>
      </c>
      <c r="G46" s="27">
        <f t="shared" si="12"/>
        <v>-1214969.4000000001</v>
      </c>
      <c r="H46" s="2"/>
      <c r="I46" s="2"/>
      <c r="J46" s="2"/>
      <c r="K46" s="2"/>
      <c r="L46" s="2"/>
    </row>
    <row r="47" spans="1:15">
      <c r="A47" s="9" t="s">
        <v>10</v>
      </c>
      <c r="B47" s="10">
        <f t="shared" si="8"/>
        <v>118.14999999999999</v>
      </c>
      <c r="C47" s="10">
        <f t="shared" si="9"/>
        <v>139</v>
      </c>
      <c r="D47" s="7">
        <f t="shared" si="13"/>
        <v>-20.850000000000009</v>
      </c>
      <c r="E47" s="22">
        <f t="shared" si="10"/>
        <v>-0.15000000000000005</v>
      </c>
      <c r="F47" s="26">
        <f t="shared" si="11"/>
        <v>58273</v>
      </c>
      <c r="G47" s="27">
        <f t="shared" si="12"/>
        <v>-1214992.0500000005</v>
      </c>
      <c r="H47" s="2"/>
      <c r="I47" s="2"/>
      <c r="J47" s="2"/>
      <c r="K47" s="2"/>
      <c r="L47" s="2"/>
    </row>
    <row r="48" spans="1:15">
      <c r="A48" s="9" t="s">
        <v>9</v>
      </c>
      <c r="B48" s="10">
        <f t="shared" si="8"/>
        <v>406.3</v>
      </c>
      <c r="C48" s="10">
        <f t="shared" si="9"/>
        <v>478</v>
      </c>
      <c r="D48" s="7">
        <f t="shared" si="13"/>
        <v>-71.699999999999989</v>
      </c>
      <c r="E48" s="22">
        <f t="shared" si="10"/>
        <v>-0.14999999999999997</v>
      </c>
      <c r="F48" s="26">
        <f t="shared" si="11"/>
        <v>16945</v>
      </c>
      <c r="G48" s="27">
        <f t="shared" si="12"/>
        <v>-1214956.4999999998</v>
      </c>
      <c r="H48" s="2"/>
      <c r="I48" s="2"/>
      <c r="J48" s="2"/>
      <c r="K48" s="2"/>
      <c r="L48" s="2"/>
    </row>
    <row r="49" spans="1:12">
      <c r="A49" s="9" t="s">
        <v>4</v>
      </c>
      <c r="B49" s="10">
        <f t="shared" si="8"/>
        <v>1062.5</v>
      </c>
      <c r="C49" s="10">
        <f t="shared" si="9"/>
        <v>1250</v>
      </c>
      <c r="D49" s="7">
        <f t="shared" si="13"/>
        <v>-187.5</v>
      </c>
      <c r="E49" s="22">
        <f t="shared" si="10"/>
        <v>-0.15</v>
      </c>
      <c r="F49" s="26">
        <f t="shared" si="11"/>
        <v>6480</v>
      </c>
      <c r="G49" s="27">
        <f t="shared" si="12"/>
        <v>-1215000</v>
      </c>
      <c r="H49" s="2"/>
      <c r="I49" s="2"/>
      <c r="J49" s="2"/>
      <c r="K49" s="2"/>
      <c r="L49" s="2"/>
    </row>
    <row r="50" spans="1:12">
      <c r="A50" s="9" t="s">
        <v>3</v>
      </c>
      <c r="B50" s="10">
        <f t="shared" si="8"/>
        <v>35768.85</v>
      </c>
      <c r="C50" s="10">
        <f t="shared" si="9"/>
        <v>38214</v>
      </c>
      <c r="D50" s="7">
        <f t="shared" si="13"/>
        <v>-2445.1500000000015</v>
      </c>
      <c r="E50" s="22">
        <f t="shared" si="10"/>
        <v>-6.3985712042706894E-2</v>
      </c>
      <c r="F50" s="26">
        <f t="shared" si="11"/>
        <v>211</v>
      </c>
      <c r="G50" s="27">
        <f t="shared" si="12"/>
        <v>-515926.65000000031</v>
      </c>
      <c r="H50" s="2"/>
      <c r="I50" s="2"/>
      <c r="J50" s="2"/>
      <c r="K50" s="2"/>
      <c r="L50" s="2"/>
    </row>
    <row r="51" spans="1:12">
      <c r="A51" s="9" t="s">
        <v>2</v>
      </c>
      <c r="B51" s="10">
        <f t="shared" si="8"/>
        <v>165750</v>
      </c>
      <c r="C51" s="10">
        <f t="shared" si="9"/>
        <v>173570</v>
      </c>
      <c r="D51" s="7">
        <f t="shared" si="13"/>
        <v>-7820</v>
      </c>
      <c r="E51" s="22">
        <f t="shared" si="10"/>
        <v>-4.5053868756121447E-2</v>
      </c>
      <c r="F51" s="26">
        <f t="shared" si="11"/>
        <v>46</v>
      </c>
      <c r="G51" s="27">
        <f t="shared" si="12"/>
        <v>-359720</v>
      </c>
      <c r="H51" s="2"/>
      <c r="I51" s="2"/>
      <c r="J51" s="2"/>
      <c r="K51" s="2"/>
      <c r="L51" s="2"/>
    </row>
    <row r="52" spans="1:12">
      <c r="A52" s="9" t="s">
        <v>1</v>
      </c>
      <c r="B52" s="10">
        <f t="shared" si="8"/>
        <v>573750</v>
      </c>
      <c r="C52" s="10">
        <f t="shared" si="9"/>
        <v>614102</v>
      </c>
      <c r="D52" s="7">
        <f t="shared" si="13"/>
        <v>-40352</v>
      </c>
      <c r="E52" s="22">
        <f t="shared" si="10"/>
        <v>-6.5708953887139265E-2</v>
      </c>
      <c r="F52" s="26">
        <f t="shared" si="11"/>
        <v>13</v>
      </c>
      <c r="G52" s="27">
        <f t="shared" si="12"/>
        <v>-524576</v>
      </c>
      <c r="H52" s="2"/>
      <c r="I52" s="2"/>
      <c r="J52" s="2"/>
      <c r="K52" s="2"/>
      <c r="L52" s="2"/>
    </row>
    <row r="53" spans="1:12">
      <c r="A53" s="9" t="s">
        <v>41</v>
      </c>
      <c r="B53" s="10">
        <f t="shared" si="8"/>
        <v>1881403.5999999999</v>
      </c>
      <c r="C53" s="10">
        <f t="shared" si="9"/>
        <v>1960162</v>
      </c>
      <c r="D53" s="7">
        <f t="shared" si="13"/>
        <v>-78758.40000000014</v>
      </c>
      <c r="E53" s="22">
        <f t="shared" si="10"/>
        <v>-4.0179536181193257E-2</v>
      </c>
      <c r="F53" s="26">
        <f>ROUNDDOWN($D$2/C53, 0)</f>
        <v>4</v>
      </c>
      <c r="G53" s="27">
        <f t="shared" si="12"/>
        <v>-315033.60000000056</v>
      </c>
      <c r="H53" s="2"/>
      <c r="I53" s="2"/>
      <c r="J53" s="2"/>
      <c r="K53" s="2"/>
      <c r="L53" s="2"/>
    </row>
    <row r="54" spans="1:12">
      <c r="A54" s="9" t="s">
        <v>44</v>
      </c>
      <c r="B54" s="10">
        <f t="shared" si="8"/>
        <v>5780000</v>
      </c>
      <c r="C54" s="10">
        <f t="shared" si="9"/>
        <v>6102806</v>
      </c>
      <c r="D54" s="7">
        <f t="shared" si="13"/>
        <v>-322806</v>
      </c>
      <c r="E54" s="22">
        <f t="shared" si="10"/>
        <v>-5.2894684838416951E-2</v>
      </c>
      <c r="F54" s="26">
        <f t="shared" si="11"/>
        <v>1</v>
      </c>
      <c r="G54" s="27">
        <f t="shared" si="12"/>
        <v>-322806</v>
      </c>
      <c r="H54" s="2"/>
      <c r="I54" s="2"/>
      <c r="J54" s="2"/>
      <c r="K54" s="2"/>
      <c r="L54" s="2"/>
    </row>
    <row r="55" spans="1:12">
      <c r="A55" s="9" t="s">
        <v>45</v>
      </c>
      <c r="B55" s="10">
        <f t="shared" si="8"/>
        <v>17134300</v>
      </c>
      <c r="C55" s="10">
        <f t="shared" si="9"/>
        <v>18738178</v>
      </c>
      <c r="D55" s="7">
        <f t="shared" si="13"/>
        <v>-1603878</v>
      </c>
      <c r="E55" s="22">
        <f t="shared" si="10"/>
        <v>-8.5594127668122272E-2</v>
      </c>
      <c r="F55" s="26">
        <f t="shared" si="11"/>
        <v>0</v>
      </c>
      <c r="G55" s="27">
        <f t="shared" si="12"/>
        <v>0</v>
      </c>
      <c r="H55" s="2"/>
      <c r="I55" s="2"/>
      <c r="J55" s="2"/>
      <c r="K55" s="2"/>
      <c r="L55" s="2"/>
    </row>
    <row r="57" spans="1:12" ht="12.75" customHeight="1">
      <c r="A57" s="159" t="s">
        <v>67</v>
      </c>
      <c r="B57" s="159"/>
      <c r="C57" s="159"/>
      <c r="D57" s="159"/>
      <c r="E57" s="159"/>
    </row>
    <row r="58" spans="1:12">
      <c r="A58" s="23"/>
      <c r="B58" s="3" t="s">
        <v>22</v>
      </c>
      <c r="C58" s="3" t="s">
        <v>52</v>
      </c>
      <c r="D58" s="3" t="s">
        <v>54</v>
      </c>
      <c r="E58" s="3" t="s">
        <v>25</v>
      </c>
    </row>
    <row r="59" spans="1:12">
      <c r="A59" s="9" t="s">
        <v>1</v>
      </c>
      <c r="B59" s="6">
        <v>27</v>
      </c>
      <c r="C59" s="6" t="s">
        <v>53</v>
      </c>
      <c r="D59" s="6">
        <v>54</v>
      </c>
      <c r="E59" s="6" t="s">
        <v>26</v>
      </c>
    </row>
    <row r="60" spans="1:12">
      <c r="A60" s="9" t="s">
        <v>2</v>
      </c>
      <c r="B60" s="6">
        <v>9</v>
      </c>
      <c r="C60" s="6" t="s">
        <v>53</v>
      </c>
      <c r="D60" s="6">
        <v>15</v>
      </c>
      <c r="E60" s="6" t="s">
        <v>26</v>
      </c>
    </row>
    <row r="62" spans="1:12" ht="12.75" customHeight="1">
      <c r="A62" s="159" t="s">
        <v>74</v>
      </c>
      <c r="B62" s="159"/>
      <c r="C62" s="159"/>
      <c r="D62" s="159"/>
      <c r="E62" s="159"/>
    </row>
    <row r="63" spans="1:12">
      <c r="A63" s="3" t="s">
        <v>70</v>
      </c>
      <c r="B63" s="3" t="s">
        <v>71</v>
      </c>
      <c r="C63" s="3" t="s">
        <v>72</v>
      </c>
      <c r="D63" s="3" t="s">
        <v>48</v>
      </c>
      <c r="E63" s="3" t="s">
        <v>64</v>
      </c>
    </row>
    <row r="64" spans="1:12">
      <c r="A64" s="4" t="s">
        <v>69</v>
      </c>
      <c r="B64" s="6">
        <v>27</v>
      </c>
      <c r="C64" s="6">
        <v>0</v>
      </c>
      <c r="D64" s="43">
        <f>C16</f>
        <v>35768.85</v>
      </c>
      <c r="E64" s="43">
        <f>B64*(D64-C64)</f>
        <v>965758.95</v>
      </c>
    </row>
    <row r="65" spans="1:5">
      <c r="A65" s="4" t="s">
        <v>73</v>
      </c>
      <c r="B65" s="6">
        <f>B64/D17</f>
        <v>9</v>
      </c>
      <c r="C65" s="43">
        <f>G17</f>
        <v>50000</v>
      </c>
      <c r="D65" s="43">
        <f>C17</f>
        <v>165750</v>
      </c>
      <c r="E65" s="43">
        <f>B65*(D65-C65)</f>
        <v>1041750</v>
      </c>
    </row>
    <row r="66" spans="1:5">
      <c r="A66" s="4" t="s">
        <v>75</v>
      </c>
      <c r="B66" s="6">
        <f>B65/D18</f>
        <v>3</v>
      </c>
      <c r="C66" s="43">
        <f>G18+C65*D17</f>
        <v>230000</v>
      </c>
      <c r="D66" s="43">
        <f>C18</f>
        <v>573750</v>
      </c>
      <c r="E66" s="43">
        <f>B66*(D66-C66)</f>
        <v>1031250</v>
      </c>
    </row>
    <row r="67" spans="1:5">
      <c r="A67" s="4" t="s">
        <v>76</v>
      </c>
      <c r="B67" s="6">
        <f>B66/D19</f>
        <v>1</v>
      </c>
      <c r="C67" s="43">
        <f>G19+C66*D18</f>
        <v>790000</v>
      </c>
      <c r="D67" s="43">
        <f>C19</f>
        <v>1881403.5999999999</v>
      </c>
      <c r="E67" s="43">
        <f>B67*(D67-C67)</f>
        <v>1091403.5999999999</v>
      </c>
    </row>
    <row r="68" spans="1:5">
      <c r="A68" s="4"/>
      <c r="B68" s="6"/>
      <c r="C68" s="6"/>
      <c r="D68" s="6"/>
      <c r="E68" s="6"/>
    </row>
    <row r="69" spans="1:5">
      <c r="A69" s="4"/>
      <c r="B69" s="6"/>
      <c r="C69" s="6"/>
      <c r="D69" s="6"/>
      <c r="E69" s="6"/>
    </row>
    <row r="70" spans="1:5">
      <c r="A70" s="4"/>
      <c r="B70" s="6"/>
      <c r="C70" s="6"/>
      <c r="D70" s="6"/>
      <c r="E70" s="6"/>
    </row>
    <row r="71" spans="1:5">
      <c r="A71" s="4"/>
      <c r="B71" s="6"/>
      <c r="C71" s="6"/>
      <c r="D71" s="6"/>
      <c r="E71" s="6"/>
    </row>
  </sheetData>
  <mergeCells count="9">
    <mergeCell ref="A62:E62"/>
    <mergeCell ref="A40:G40"/>
    <mergeCell ref="A57:E57"/>
    <mergeCell ref="A1:B1"/>
    <mergeCell ref="D1:E1"/>
    <mergeCell ref="D2:E2"/>
    <mergeCell ref="B6:C6"/>
    <mergeCell ref="D6:G6"/>
    <mergeCell ref="A23:O23"/>
  </mergeCells>
  <conditionalFormatting sqref="D42:D55">
    <cfRule type="top10" dxfId="26" priority="24" rank="2"/>
  </conditionalFormatting>
  <conditionalFormatting sqref="E42:E55">
    <cfRule type="top10" dxfId="25" priority="23" rank="2"/>
  </conditionalFormatting>
  <conditionalFormatting sqref="D42:E55">
    <cfRule type="cellIs" dxfId="24" priority="22" operator="lessThan">
      <formula>0</formula>
    </cfRule>
  </conditionalFormatting>
  <conditionalFormatting sqref="F42">
    <cfRule type="top10" dxfId="23" priority="21" rank="2"/>
  </conditionalFormatting>
  <conditionalFormatting sqref="F42">
    <cfRule type="cellIs" dxfId="22" priority="20" operator="lessThan">
      <formula>0</formula>
    </cfRule>
  </conditionalFormatting>
  <conditionalFormatting sqref="G42">
    <cfRule type="top10" dxfId="21" priority="19" rank="2"/>
  </conditionalFormatting>
  <conditionalFormatting sqref="G42">
    <cfRule type="cellIs" dxfId="20" priority="18" operator="lessThan">
      <formula>0</formula>
    </cfRule>
  </conditionalFormatting>
  <conditionalFormatting sqref="G43:G55">
    <cfRule type="top10" dxfId="19" priority="16" rank="2"/>
    <cfRule type="cellIs" dxfId="18" priority="17" operator="lessThan">
      <formula>0</formula>
    </cfRule>
  </conditionalFormatting>
  <conditionalFormatting sqref="B25">
    <cfRule type="top10" dxfId="17" priority="15" bottom="1" rank="1"/>
  </conditionalFormatting>
  <conditionalFormatting sqref="B26:C26">
    <cfRule type="top10" dxfId="16" priority="14" bottom="1" rank="1"/>
  </conditionalFormatting>
  <conditionalFormatting sqref="B27:D27">
    <cfRule type="top10" dxfId="15" priority="13" bottom="1" rank="1"/>
  </conditionalFormatting>
  <conditionalFormatting sqref="B28:E28">
    <cfRule type="top10" dxfId="14" priority="12" bottom="1" rank="1"/>
  </conditionalFormatting>
  <conditionalFormatting sqref="B29:F29">
    <cfRule type="top10" dxfId="13" priority="11" bottom="1" rank="1"/>
  </conditionalFormatting>
  <conditionalFormatting sqref="B30:G30">
    <cfRule type="top10" dxfId="12" priority="10" bottom="1" rank="1"/>
  </conditionalFormatting>
  <conditionalFormatting sqref="B31:H31">
    <cfRule type="top10" dxfId="11" priority="9" bottom="1" rank="1"/>
  </conditionalFormatting>
  <conditionalFormatting sqref="B32:I32">
    <cfRule type="top10" dxfId="10" priority="8" bottom="1" rank="1"/>
  </conditionalFormatting>
  <conditionalFormatting sqref="B33:J33">
    <cfRule type="top10" dxfId="9" priority="7" bottom="1" rank="1"/>
  </conditionalFormatting>
  <conditionalFormatting sqref="B34:K34">
    <cfRule type="top10" dxfId="8" priority="6" bottom="1" rank="1"/>
  </conditionalFormatting>
  <conditionalFormatting sqref="B35:L35">
    <cfRule type="top10" dxfId="7" priority="5" bottom="1" rank="1"/>
  </conditionalFormatting>
  <conditionalFormatting sqref="B36:M36">
    <cfRule type="top10" dxfId="6" priority="4" bottom="1" rank="1"/>
  </conditionalFormatting>
  <conditionalFormatting sqref="B37:N37">
    <cfRule type="top10" dxfId="5" priority="3" bottom="1" rank="1"/>
  </conditionalFormatting>
  <conditionalFormatting sqref="B38:O38">
    <cfRule type="top10" dxfId="4" priority="2" bottom="1" rank="1"/>
  </conditionalFormatting>
  <conditionalFormatting sqref="E64:E67">
    <cfRule type="top10" dxfId="3" priority="1" rank="1"/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:F50"/>
  <sheetViews>
    <sheetView zoomScale="85" zoomScaleNormal="85" workbookViewId="0">
      <selection activeCell="A33" sqref="A33"/>
    </sheetView>
  </sheetViews>
  <sheetFormatPr defaultRowHeight="12.75"/>
  <cols>
    <col min="1" max="1" width="41.5703125" style="72" bestFit="1" customWidth="1"/>
    <col min="2" max="2" width="14.140625" style="88" customWidth="1"/>
    <col min="3" max="3" width="14.140625" style="89" customWidth="1"/>
    <col min="4" max="4" width="16.140625" style="88" customWidth="1"/>
    <col min="5" max="5" width="21" style="90" customWidth="1"/>
    <col min="6" max="6" width="20.85546875" style="72" customWidth="1"/>
    <col min="7" max="7" width="9.140625" style="72"/>
    <col min="8" max="8" width="9.42578125" style="72" bestFit="1" customWidth="1"/>
    <col min="9" max="16384" width="9.140625" style="72"/>
  </cols>
  <sheetData>
    <row r="1" spans="1:6">
      <c r="A1" s="68" t="s">
        <v>187</v>
      </c>
      <c r="B1" s="69" t="s">
        <v>188</v>
      </c>
      <c r="C1" s="70" t="s">
        <v>189</v>
      </c>
      <c r="D1" s="69" t="s">
        <v>191</v>
      </c>
      <c r="E1" s="71" t="s">
        <v>60</v>
      </c>
      <c r="F1" s="71" t="s">
        <v>223</v>
      </c>
    </row>
    <row r="2" spans="1:6">
      <c r="A2" s="73" t="s">
        <v>186</v>
      </c>
      <c r="B2" s="134" t="s">
        <v>15</v>
      </c>
      <c r="C2" s="74" t="s">
        <v>15</v>
      </c>
      <c r="D2" s="134" t="s">
        <v>15</v>
      </c>
      <c r="E2" s="135">
        <v>5049323</v>
      </c>
      <c r="F2" s="75"/>
    </row>
    <row r="3" spans="1:6">
      <c r="A3" s="76" t="s">
        <v>190</v>
      </c>
      <c r="B3" s="134">
        <v>-831073</v>
      </c>
      <c r="C3" s="74">
        <v>1000</v>
      </c>
      <c r="D3" s="134">
        <f>B3/C3</f>
        <v>-831.07299999999998</v>
      </c>
      <c r="E3" s="135">
        <f t="shared" ref="E3:E14" si="0">E2+B3</f>
        <v>4218250</v>
      </c>
      <c r="F3" s="75"/>
    </row>
    <row r="4" spans="1:6">
      <c r="A4" s="76" t="s">
        <v>192</v>
      </c>
      <c r="B4" s="134">
        <v>-1400000</v>
      </c>
      <c r="C4" s="74">
        <v>1000</v>
      </c>
      <c r="D4" s="134">
        <f>B4/C4</f>
        <v>-1400</v>
      </c>
      <c r="E4" s="135">
        <f t="shared" si="0"/>
        <v>2818250</v>
      </c>
      <c r="F4" s="75"/>
    </row>
    <row r="5" spans="1:6">
      <c r="A5" s="76" t="s">
        <v>193</v>
      </c>
      <c r="B5" s="134">
        <f>D5*C5</f>
        <v>-2790000</v>
      </c>
      <c r="C5" s="74">
        <v>93</v>
      </c>
      <c r="D5" s="134">
        <v>-30000</v>
      </c>
      <c r="E5" s="135">
        <f t="shared" si="0"/>
        <v>28250</v>
      </c>
      <c r="F5" s="75"/>
    </row>
    <row r="6" spans="1:6">
      <c r="A6" s="77" t="s">
        <v>194</v>
      </c>
      <c r="B6" s="141">
        <f>90177-28250</f>
        <v>61927</v>
      </c>
      <c r="C6" s="78" t="s">
        <v>15</v>
      </c>
      <c r="D6" s="141" t="s">
        <v>15</v>
      </c>
      <c r="E6" s="140">
        <f t="shared" si="0"/>
        <v>90177</v>
      </c>
      <c r="F6" s="79" t="s">
        <v>224</v>
      </c>
    </row>
    <row r="7" spans="1:6">
      <c r="A7" s="76" t="s">
        <v>195</v>
      </c>
      <c r="B7" s="135">
        <v>3557250</v>
      </c>
      <c r="C7" s="81">
        <v>93</v>
      </c>
      <c r="D7" s="135">
        <f>B7/C7</f>
        <v>38250</v>
      </c>
      <c r="E7" s="135">
        <f t="shared" si="0"/>
        <v>3647427</v>
      </c>
      <c r="F7" s="75"/>
    </row>
    <row r="8" spans="1:6">
      <c r="A8" s="76" t="s">
        <v>196</v>
      </c>
      <c r="B8" s="135">
        <f>D8*C8</f>
        <v>-3630000</v>
      </c>
      <c r="C8" s="81">
        <v>121</v>
      </c>
      <c r="D8" s="135">
        <v>-30000</v>
      </c>
      <c r="E8" s="135">
        <f t="shared" si="0"/>
        <v>17427</v>
      </c>
      <c r="F8" s="75"/>
    </row>
    <row r="9" spans="1:6">
      <c r="A9" s="77" t="s">
        <v>197</v>
      </c>
      <c r="B9" s="140">
        <f>19258-17427</f>
        <v>1831</v>
      </c>
      <c r="C9" s="78" t="s">
        <v>15</v>
      </c>
      <c r="D9" s="141" t="s">
        <v>15</v>
      </c>
      <c r="E9" s="140">
        <f t="shared" si="0"/>
        <v>19258</v>
      </c>
      <c r="F9" s="79" t="s">
        <v>224</v>
      </c>
    </row>
    <row r="10" spans="1:6">
      <c r="A10" s="77" t="s">
        <v>198</v>
      </c>
      <c r="B10" s="140">
        <v>208250</v>
      </c>
      <c r="C10" s="82">
        <v>1</v>
      </c>
      <c r="D10" s="140">
        <f>B10/C10</f>
        <v>208250</v>
      </c>
      <c r="E10" s="140">
        <f t="shared" si="0"/>
        <v>227508</v>
      </c>
      <c r="F10" s="79" t="s">
        <v>224</v>
      </c>
    </row>
    <row r="11" spans="1:6">
      <c r="A11" s="76" t="s">
        <v>199</v>
      </c>
      <c r="B11" s="135">
        <v>4628250</v>
      </c>
      <c r="C11" s="81">
        <v>121</v>
      </c>
      <c r="D11" s="135">
        <f>B11/C11</f>
        <v>38250</v>
      </c>
      <c r="E11" s="135">
        <f t="shared" si="0"/>
        <v>4855758</v>
      </c>
      <c r="F11" s="75"/>
    </row>
    <row r="12" spans="1:6">
      <c r="A12" s="76" t="s">
        <v>200</v>
      </c>
      <c r="B12" s="135">
        <f>D12*C12</f>
        <v>-3930000</v>
      </c>
      <c r="C12" s="81">
        <v>131</v>
      </c>
      <c r="D12" s="135">
        <v>-30000</v>
      </c>
      <c r="E12" s="135">
        <f t="shared" si="0"/>
        <v>925758</v>
      </c>
      <c r="F12" s="75"/>
    </row>
    <row r="13" spans="1:6">
      <c r="A13" s="77" t="s">
        <v>194</v>
      </c>
      <c r="B13" s="140">
        <f>936553-925758</f>
        <v>10795</v>
      </c>
      <c r="C13" s="78" t="s">
        <v>15</v>
      </c>
      <c r="D13" s="141" t="s">
        <v>15</v>
      </c>
      <c r="E13" s="140">
        <f t="shared" si="0"/>
        <v>936553</v>
      </c>
      <c r="F13" s="79" t="s">
        <v>224</v>
      </c>
    </row>
    <row r="14" spans="1:6">
      <c r="A14" s="76" t="s">
        <v>212</v>
      </c>
      <c r="B14" s="135">
        <v>5010750</v>
      </c>
      <c r="C14" s="81">
        <v>131</v>
      </c>
      <c r="D14" s="135">
        <f>B14/C14</f>
        <v>38250</v>
      </c>
      <c r="E14" s="135">
        <f t="shared" si="0"/>
        <v>5947303</v>
      </c>
      <c r="F14" s="75"/>
    </row>
    <row r="15" spans="1:6">
      <c r="A15" s="83" t="s">
        <v>215</v>
      </c>
      <c r="B15" s="136"/>
      <c r="C15" s="84">
        <f>C12+C8+C5</f>
        <v>345</v>
      </c>
      <c r="D15" s="136"/>
      <c r="E15" s="136"/>
      <c r="F15" s="85"/>
    </row>
    <row r="16" spans="1:6">
      <c r="A16" s="83" t="s">
        <v>213</v>
      </c>
      <c r="B16" s="136"/>
      <c r="C16" s="84">
        <f>C15*3</f>
        <v>1035</v>
      </c>
      <c r="D16" s="136"/>
      <c r="E16" s="136"/>
      <c r="F16" s="85"/>
    </row>
    <row r="17" spans="1:6">
      <c r="A17" s="83" t="s">
        <v>214</v>
      </c>
      <c r="B17" s="136"/>
      <c r="C17" s="84">
        <f>C15*3</f>
        <v>1035</v>
      </c>
      <c r="D17" s="136"/>
      <c r="E17" s="136"/>
      <c r="F17" s="85"/>
    </row>
    <row r="18" spans="1:6">
      <c r="A18" s="83" t="s">
        <v>220</v>
      </c>
      <c r="B18" s="136"/>
      <c r="C18" s="84"/>
      <c r="D18" s="136"/>
      <c r="E18" s="136">
        <f>E14-B13-B10-B9-B6</f>
        <v>5664500</v>
      </c>
      <c r="F18" s="85"/>
    </row>
    <row r="19" spans="1:6">
      <c r="A19" s="126" t="s">
        <v>221</v>
      </c>
      <c r="B19" s="139"/>
      <c r="C19" s="128"/>
      <c r="D19" s="139"/>
      <c r="E19" s="139">
        <f>E18-E2</f>
        <v>615177</v>
      </c>
      <c r="F19" s="129"/>
    </row>
    <row r="20" spans="1:6">
      <c r="A20" s="126" t="s">
        <v>222</v>
      </c>
      <c r="B20" s="127"/>
      <c r="C20" s="128"/>
      <c r="D20" s="127"/>
      <c r="E20" s="130">
        <f>E19/E2</f>
        <v>0.12183356065753766</v>
      </c>
      <c r="F20" s="130"/>
    </row>
    <row r="21" spans="1:6">
      <c r="A21" s="86" t="s">
        <v>186</v>
      </c>
      <c r="B21" s="134" t="s">
        <v>15</v>
      </c>
      <c r="C21" s="74" t="s">
        <v>15</v>
      </c>
      <c r="D21" s="134" t="s">
        <v>15</v>
      </c>
      <c r="E21" s="134">
        <v>6457815</v>
      </c>
      <c r="F21" s="76"/>
    </row>
    <row r="22" spans="1:6">
      <c r="A22" s="86" t="s">
        <v>229</v>
      </c>
      <c r="B22" s="134" t="s">
        <v>15</v>
      </c>
      <c r="C22" s="74">
        <v>229</v>
      </c>
      <c r="D22" s="134" t="s">
        <v>15</v>
      </c>
      <c r="E22" s="134" t="s">
        <v>15</v>
      </c>
      <c r="F22" s="76"/>
    </row>
    <row r="23" spans="1:6">
      <c r="A23" s="86" t="s">
        <v>228</v>
      </c>
      <c r="B23" s="134" t="s">
        <v>15</v>
      </c>
      <c r="C23" s="74">
        <v>89</v>
      </c>
      <c r="D23" s="134" t="s">
        <v>15</v>
      </c>
      <c r="E23" s="134" t="s">
        <v>15</v>
      </c>
      <c r="F23" s="76"/>
    </row>
    <row r="24" spans="1:6">
      <c r="A24" s="86" t="s">
        <v>230</v>
      </c>
      <c r="B24" s="135">
        <f>D24*C24</f>
        <v>-810000</v>
      </c>
      <c r="C24" s="81">
        <v>27</v>
      </c>
      <c r="D24" s="135">
        <v>-30000</v>
      </c>
      <c r="E24" s="135">
        <f>E21+B24</f>
        <v>5647815</v>
      </c>
      <c r="F24" s="76"/>
    </row>
    <row r="25" spans="1:6">
      <c r="A25" s="86" t="s">
        <v>231</v>
      </c>
      <c r="B25" s="135">
        <f>D25*C25</f>
        <v>-450000</v>
      </c>
      <c r="C25" s="81">
        <v>9</v>
      </c>
      <c r="D25" s="135">
        <v>-50000</v>
      </c>
      <c r="E25" s="135">
        <f>E24+B25</f>
        <v>5197815</v>
      </c>
      <c r="F25" s="76"/>
    </row>
    <row r="26" spans="1:6">
      <c r="A26" s="86" t="s">
        <v>232</v>
      </c>
      <c r="B26" s="135">
        <f>D26*C26</f>
        <v>-240000</v>
      </c>
      <c r="C26" s="81">
        <v>3</v>
      </c>
      <c r="D26" s="135">
        <v>-80000</v>
      </c>
      <c r="E26" s="135">
        <f>E25+B26</f>
        <v>4957815</v>
      </c>
      <c r="F26" s="76"/>
    </row>
    <row r="27" spans="1:6">
      <c r="A27" s="86" t="s">
        <v>233</v>
      </c>
      <c r="B27" s="135">
        <f>D27*C27</f>
        <v>-100000</v>
      </c>
      <c r="C27" s="81">
        <v>1</v>
      </c>
      <c r="D27" s="135">
        <v>-100000</v>
      </c>
      <c r="E27" s="135">
        <f>E26+B27</f>
        <v>4857815</v>
      </c>
      <c r="F27" s="76"/>
    </row>
    <row r="28" spans="1:6">
      <c r="A28" s="83" t="s">
        <v>234</v>
      </c>
      <c r="B28" s="136">
        <v>2067781</v>
      </c>
      <c r="C28" s="84">
        <v>1</v>
      </c>
      <c r="D28" s="136">
        <f t="shared" ref="D28" si="1">B28/C28</f>
        <v>2067781</v>
      </c>
      <c r="E28" s="136">
        <f>E27+B28</f>
        <v>6925596</v>
      </c>
      <c r="F28" s="83"/>
    </row>
    <row r="29" spans="1:6">
      <c r="A29" s="83" t="s">
        <v>237</v>
      </c>
      <c r="B29" s="137" t="s">
        <v>15</v>
      </c>
      <c r="C29" s="133">
        <f>C22-55</f>
        <v>174</v>
      </c>
      <c r="D29" s="137" t="s">
        <v>15</v>
      </c>
      <c r="E29" s="137" t="s">
        <v>15</v>
      </c>
      <c r="F29" s="83"/>
    </row>
    <row r="30" spans="1:6">
      <c r="A30" s="83" t="s">
        <v>238</v>
      </c>
      <c r="B30" s="137" t="s">
        <v>15</v>
      </c>
      <c r="C30" s="133">
        <f>C23-8</f>
        <v>81</v>
      </c>
      <c r="D30" s="137" t="s">
        <v>15</v>
      </c>
      <c r="E30" s="137" t="s">
        <v>15</v>
      </c>
      <c r="F30" s="83"/>
    </row>
    <row r="31" spans="1:6">
      <c r="A31" s="126" t="s">
        <v>235</v>
      </c>
      <c r="B31" s="138" t="s">
        <v>15</v>
      </c>
      <c r="C31" s="131" t="s">
        <v>15</v>
      </c>
      <c r="D31" s="138" t="s">
        <v>15</v>
      </c>
      <c r="E31" s="139">
        <f>E28-E21</f>
        <v>467781</v>
      </c>
      <c r="F31" s="126"/>
    </row>
    <row r="32" spans="1:6">
      <c r="A32" s="126" t="s">
        <v>236</v>
      </c>
      <c r="B32" s="132" t="s">
        <v>15</v>
      </c>
      <c r="C32" s="131" t="s">
        <v>15</v>
      </c>
      <c r="D32" s="132" t="s">
        <v>15</v>
      </c>
      <c r="E32" s="130">
        <f>E31/E21</f>
        <v>7.2436420058487272E-2</v>
      </c>
      <c r="F32" s="126"/>
    </row>
    <row r="33" spans="1:6">
      <c r="A33" s="86"/>
      <c r="B33" s="80"/>
      <c r="C33" s="81"/>
      <c r="D33" s="80"/>
      <c r="E33" s="75"/>
      <c r="F33" s="76"/>
    </row>
    <row r="34" spans="1:6">
      <c r="A34" s="86"/>
      <c r="B34" s="80"/>
      <c r="C34" s="81"/>
      <c r="D34" s="80"/>
      <c r="E34" s="75"/>
      <c r="F34" s="76"/>
    </row>
    <row r="35" spans="1:6">
      <c r="A35" s="86"/>
      <c r="B35" s="80"/>
      <c r="C35" s="81"/>
      <c r="D35" s="80"/>
      <c r="E35" s="75"/>
      <c r="F35" s="76"/>
    </row>
    <row r="36" spans="1:6">
      <c r="A36" s="86"/>
      <c r="B36" s="80"/>
      <c r="C36" s="81"/>
      <c r="D36" s="80"/>
      <c r="E36" s="75"/>
      <c r="F36" s="76"/>
    </row>
    <row r="37" spans="1:6">
      <c r="A37" s="86"/>
      <c r="B37" s="80"/>
      <c r="C37" s="81"/>
      <c r="D37" s="80"/>
      <c r="E37" s="75"/>
      <c r="F37" s="76"/>
    </row>
    <row r="38" spans="1:6">
      <c r="A38" s="86"/>
      <c r="B38" s="80"/>
      <c r="C38" s="81"/>
      <c r="D38" s="80"/>
      <c r="E38" s="75"/>
      <c r="F38" s="76"/>
    </row>
    <row r="39" spans="1:6">
      <c r="A39" s="86"/>
      <c r="B39" s="80"/>
      <c r="C39" s="81"/>
      <c r="D39" s="80"/>
      <c r="E39" s="75"/>
      <c r="F39" s="76"/>
    </row>
    <row r="40" spans="1:6">
      <c r="A40" s="86"/>
      <c r="B40" s="80"/>
      <c r="C40" s="81"/>
      <c r="D40" s="80"/>
      <c r="E40" s="75"/>
      <c r="F40" s="76"/>
    </row>
    <row r="41" spans="1:6">
      <c r="A41" s="86"/>
      <c r="B41" s="80"/>
      <c r="C41" s="81"/>
      <c r="D41" s="80"/>
      <c r="E41" s="75"/>
      <c r="F41" s="76"/>
    </row>
    <row r="42" spans="1:6">
      <c r="A42" s="86"/>
      <c r="B42" s="80"/>
      <c r="C42" s="81"/>
      <c r="D42" s="80"/>
      <c r="E42" s="75"/>
      <c r="F42" s="76"/>
    </row>
    <row r="43" spans="1:6">
      <c r="A43" s="86"/>
      <c r="B43" s="80"/>
      <c r="C43" s="81"/>
      <c r="D43" s="80"/>
      <c r="E43" s="75"/>
      <c r="F43" s="76"/>
    </row>
    <row r="44" spans="1:6">
      <c r="A44" s="86"/>
      <c r="B44" s="80"/>
      <c r="C44" s="81"/>
      <c r="D44" s="80"/>
      <c r="E44" s="75"/>
      <c r="F44" s="76"/>
    </row>
    <row r="45" spans="1:6">
      <c r="A45" s="86"/>
      <c r="B45" s="80"/>
      <c r="C45" s="81"/>
      <c r="D45" s="80"/>
      <c r="E45" s="75"/>
      <c r="F45" s="76"/>
    </row>
    <row r="46" spans="1:6">
      <c r="A46" s="86"/>
      <c r="B46" s="80"/>
      <c r="C46" s="81"/>
      <c r="D46" s="80"/>
      <c r="E46" s="75"/>
      <c r="F46" s="76"/>
    </row>
    <row r="47" spans="1:6">
      <c r="A47" s="86"/>
      <c r="B47" s="80"/>
      <c r="C47" s="81"/>
      <c r="D47" s="80"/>
      <c r="E47" s="75"/>
      <c r="F47" s="76"/>
    </row>
    <row r="48" spans="1:6">
      <c r="A48" s="86"/>
      <c r="B48" s="80"/>
      <c r="C48" s="81"/>
      <c r="D48" s="80"/>
      <c r="E48" s="75"/>
      <c r="F48" s="76"/>
    </row>
    <row r="49" spans="1:6">
      <c r="A49" s="86"/>
      <c r="B49" s="80"/>
      <c r="C49" s="81"/>
      <c r="D49" s="80"/>
      <c r="E49" s="75"/>
      <c r="F49" s="76"/>
    </row>
    <row r="50" spans="1:6">
      <c r="A50" s="87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R73"/>
  <sheetViews>
    <sheetView tabSelected="1" topLeftCell="A4" zoomScaleNormal="100" workbookViewId="0">
      <selection activeCell="D38" sqref="D38"/>
    </sheetView>
  </sheetViews>
  <sheetFormatPr defaultColWidth="11.7109375" defaultRowHeight="12.75"/>
  <cols>
    <col min="1" max="1" width="27" style="93" bestFit="1" customWidth="1"/>
    <col min="2" max="2" width="15.42578125" style="93" bestFit="1" customWidth="1"/>
    <col min="3" max="4" width="12.85546875" style="93" bestFit="1" customWidth="1"/>
    <col min="5" max="7" width="11.7109375" style="93"/>
    <col min="8" max="8" width="16.28515625" style="93" bestFit="1" customWidth="1"/>
    <col min="9" max="10" width="11.7109375" style="93"/>
    <col min="11" max="11" width="16.7109375" style="93" bestFit="1" customWidth="1"/>
    <col min="12" max="12" width="5.5703125" style="93" bestFit="1" customWidth="1"/>
    <col min="13" max="13" width="7.42578125" style="93" bestFit="1" customWidth="1"/>
    <col min="14" max="15" width="6.140625" style="94" bestFit="1" customWidth="1"/>
    <col min="16" max="16" width="6.42578125" style="93" bestFit="1" customWidth="1"/>
    <col min="17" max="17" width="13.7109375" style="93" bestFit="1" customWidth="1"/>
    <col min="18" max="18" width="16.5703125" style="93" bestFit="1" customWidth="1"/>
    <col min="19" max="16384" width="11.7109375" style="93"/>
  </cols>
  <sheetData>
    <row r="1" spans="1:18">
      <c r="A1" s="91"/>
      <c r="B1" s="92" t="s">
        <v>106</v>
      </c>
      <c r="C1" s="92" t="s">
        <v>107</v>
      </c>
      <c r="D1" s="92" t="s">
        <v>108</v>
      </c>
      <c r="E1" s="92" t="s">
        <v>109</v>
      </c>
      <c r="G1" s="92" t="s">
        <v>184</v>
      </c>
      <c r="H1" s="92" t="s">
        <v>185</v>
      </c>
    </row>
    <row r="2" spans="1:18">
      <c r="A2" s="95" t="s">
        <v>125</v>
      </c>
      <c r="B2" s="96">
        <v>80</v>
      </c>
      <c r="C2" s="96">
        <v>235</v>
      </c>
      <c r="D2" s="96">
        <v>80</v>
      </c>
      <c r="E2" s="96">
        <v>153</v>
      </c>
      <c r="G2" s="96">
        <v>60</v>
      </c>
      <c r="H2" s="96">
        <v>17</v>
      </c>
    </row>
    <row r="3" spans="1:18">
      <c r="A3" s="95" t="s">
        <v>124</v>
      </c>
      <c r="B3" s="96">
        <v>335</v>
      </c>
      <c r="C3" s="96">
        <f>2190</f>
        <v>2190</v>
      </c>
      <c r="D3" s="96">
        <v>641</v>
      </c>
      <c r="E3" s="96">
        <v>823</v>
      </c>
    </row>
    <row r="5" spans="1:18">
      <c r="A5" s="161" t="s">
        <v>173</v>
      </c>
      <c r="B5" s="161"/>
      <c r="C5" s="161"/>
      <c r="D5" s="161"/>
      <c r="E5" s="161"/>
      <c r="F5" s="161"/>
      <c r="G5" s="161"/>
      <c r="H5" s="161"/>
      <c r="I5" s="161"/>
    </row>
    <row r="6" spans="1:18">
      <c r="A6" s="92" t="s">
        <v>174</v>
      </c>
      <c r="B6" s="162" t="s">
        <v>115</v>
      </c>
      <c r="C6" s="162"/>
      <c r="D6" s="162" t="s">
        <v>153</v>
      </c>
      <c r="E6" s="162"/>
      <c r="F6" s="162" t="s">
        <v>154</v>
      </c>
      <c r="G6" s="162"/>
      <c r="H6" s="162" t="s">
        <v>179</v>
      </c>
      <c r="I6" s="162"/>
    </row>
    <row r="7" spans="1:18">
      <c r="A7" s="97">
        <f>PRODUCT(B7:I7)</f>
        <v>67217.623977081588</v>
      </c>
      <c r="B7" s="166">
        <f>SUM(B12:C12)/2</f>
        <v>837</v>
      </c>
      <c r="C7" s="166"/>
      <c r="D7" s="166">
        <f>D16*(1+E16)*(1+SUM(E17:E38))</f>
        <v>1.5367000000000002</v>
      </c>
      <c r="E7" s="166"/>
      <c r="F7" s="167">
        <f>1+F12*G12</f>
        <v>2.2031999999999998</v>
      </c>
      <c r="G7" s="167"/>
      <c r="H7" s="166">
        <f>1+0.01*H12</f>
        <v>23.72</v>
      </c>
      <c r="I7" s="166"/>
    </row>
    <row r="9" spans="1:18">
      <c r="A9" s="161" t="s">
        <v>176</v>
      </c>
      <c r="B9" s="161"/>
      <c r="C9" s="161"/>
      <c r="D9" s="161"/>
      <c r="E9" s="161"/>
      <c r="F9" s="161"/>
      <c r="G9" s="161"/>
      <c r="H9" s="161"/>
      <c r="I9" s="161"/>
      <c r="N9" s="93"/>
      <c r="O9" s="93"/>
      <c r="Q9" s="94"/>
      <c r="R9" s="94"/>
    </row>
    <row r="10" spans="1:18">
      <c r="A10" s="92" t="s">
        <v>79</v>
      </c>
      <c r="B10" s="162" t="s">
        <v>115</v>
      </c>
      <c r="C10" s="162"/>
      <c r="D10" s="162" t="s">
        <v>153</v>
      </c>
      <c r="E10" s="162"/>
      <c r="F10" s="162" t="s">
        <v>154</v>
      </c>
      <c r="G10" s="162"/>
      <c r="H10" s="92" t="s">
        <v>77</v>
      </c>
      <c r="I10" s="163" t="s">
        <v>170</v>
      </c>
      <c r="K10" s="98" t="s">
        <v>79</v>
      </c>
      <c r="L10" s="98" t="s">
        <v>134</v>
      </c>
      <c r="M10" s="98" t="s">
        <v>135</v>
      </c>
      <c r="N10" s="98" t="s">
        <v>139</v>
      </c>
      <c r="O10" s="98" t="s">
        <v>140</v>
      </c>
      <c r="P10" s="98" t="s">
        <v>136</v>
      </c>
      <c r="Q10" s="99" t="s">
        <v>143</v>
      </c>
      <c r="R10" s="99" t="s">
        <v>144</v>
      </c>
    </row>
    <row r="11" spans="1:18">
      <c r="A11" s="95"/>
      <c r="B11" s="98" t="s">
        <v>80</v>
      </c>
      <c r="C11" s="98" t="s">
        <v>81</v>
      </c>
      <c r="D11" s="98" t="s">
        <v>151</v>
      </c>
      <c r="E11" s="98" t="s">
        <v>152</v>
      </c>
      <c r="F11" s="98" t="s">
        <v>155</v>
      </c>
      <c r="G11" s="98" t="s">
        <v>156</v>
      </c>
      <c r="H11" s="98" t="s">
        <v>107</v>
      </c>
      <c r="I11" s="164"/>
      <c r="K11" s="100"/>
      <c r="L11" s="100">
        <f>C43</f>
        <v>779</v>
      </c>
      <c r="M11" s="101">
        <f>C48</f>
        <v>1.4399000000000002</v>
      </c>
      <c r="N11" s="102">
        <f>A55</f>
        <v>0.32</v>
      </c>
      <c r="O11" s="102">
        <f>B55</f>
        <v>3.76</v>
      </c>
      <c r="P11" s="103">
        <f>B58</f>
        <v>2190</v>
      </c>
      <c r="Q11" s="104"/>
      <c r="R11" s="104"/>
    </row>
    <row r="12" spans="1:18">
      <c r="A12" s="95" t="s">
        <v>180</v>
      </c>
      <c r="B12" s="98">
        <f t="shared" ref="B12:H12" si="0">SUM(B13:B38)</f>
        <v>681</v>
      </c>
      <c r="C12" s="98">
        <f t="shared" si="0"/>
        <v>993</v>
      </c>
      <c r="D12" s="98">
        <f t="shared" si="0"/>
        <v>1.1000000000000001</v>
      </c>
      <c r="E12" s="98">
        <f t="shared" si="0"/>
        <v>0.37</v>
      </c>
      <c r="F12" s="105">
        <f t="shared" si="0"/>
        <v>0.32000000000000006</v>
      </c>
      <c r="G12" s="105">
        <f t="shared" si="0"/>
        <v>3.7599999999999993</v>
      </c>
      <c r="H12" s="98">
        <f t="shared" si="0"/>
        <v>2272</v>
      </c>
      <c r="I12" s="165"/>
      <c r="K12" s="106" t="s">
        <v>137</v>
      </c>
      <c r="L12" s="96">
        <v>0</v>
      </c>
      <c r="M12" s="107">
        <v>0</v>
      </c>
      <c r="N12" s="108">
        <v>0.1</v>
      </c>
      <c r="O12" s="108">
        <v>0</v>
      </c>
      <c r="P12" s="96">
        <v>225</v>
      </c>
      <c r="Q12" s="109">
        <f t="shared" ref="Q12:Q20" si="1">(1+L12)*(1+M12)*(1+N12)*(1+O12)*(1+P12)</f>
        <v>248.60000000000002</v>
      </c>
      <c r="R12" s="109">
        <f t="shared" ref="R12:R21" si="2">(L12/2+$L$11)*(M12+$M$11)*(N12+$N$11)*(O12+$O$11)*((P12+$P$11)*0.01+1)</f>
        <v>44549.713363848015</v>
      </c>
    </row>
    <row r="13" spans="1:18">
      <c r="A13" s="106" t="s">
        <v>177</v>
      </c>
      <c r="B13" s="96"/>
      <c r="C13" s="96"/>
      <c r="D13" s="96"/>
      <c r="E13" s="110"/>
      <c r="F13" s="110"/>
      <c r="G13" s="110">
        <v>0.5</v>
      </c>
      <c r="H13" s="96"/>
      <c r="I13" s="96" t="s">
        <v>171</v>
      </c>
      <c r="K13" s="106" t="s">
        <v>138</v>
      </c>
      <c r="L13" s="96">
        <v>0</v>
      </c>
      <c r="M13" s="107">
        <v>0.06</v>
      </c>
      <c r="N13" s="108">
        <v>0.05</v>
      </c>
      <c r="O13" s="108">
        <v>0.24</v>
      </c>
      <c r="P13" s="96">
        <v>38</v>
      </c>
      <c r="Q13" s="109">
        <f t="shared" si="1"/>
        <v>53.824680000000008</v>
      </c>
      <c r="R13" s="109">
        <f t="shared" si="2"/>
        <v>40257.282402240009</v>
      </c>
    </row>
    <row r="14" spans="1:18">
      <c r="A14" s="106" t="s">
        <v>178</v>
      </c>
      <c r="B14" s="96"/>
      <c r="C14" s="96"/>
      <c r="D14" s="96"/>
      <c r="E14" s="110"/>
      <c r="F14" s="110">
        <v>0.05</v>
      </c>
      <c r="G14" s="110"/>
      <c r="H14" s="96"/>
      <c r="I14" s="96" t="s">
        <v>171</v>
      </c>
      <c r="K14" s="106" t="s">
        <v>141</v>
      </c>
      <c r="L14" s="96">
        <v>0</v>
      </c>
      <c r="M14" s="107">
        <v>0.05</v>
      </c>
      <c r="N14" s="108">
        <v>0.1</v>
      </c>
      <c r="O14" s="108">
        <v>0.24</v>
      </c>
      <c r="P14" s="96">
        <v>69</v>
      </c>
      <c r="Q14" s="109">
        <f t="shared" si="1"/>
        <v>100.25400000000002</v>
      </c>
      <c r="R14" s="109">
        <f t="shared" si="2"/>
        <v>45997.242881520018</v>
      </c>
    </row>
    <row r="15" spans="1:18">
      <c r="A15" s="106" t="s">
        <v>181</v>
      </c>
      <c r="B15" s="96"/>
      <c r="C15" s="96"/>
      <c r="D15" s="96"/>
      <c r="E15" s="110"/>
      <c r="F15" s="110"/>
      <c r="G15" s="110"/>
      <c r="H15" s="96">
        <v>235</v>
      </c>
      <c r="I15" s="96" t="s">
        <v>171</v>
      </c>
      <c r="K15" s="106" t="s">
        <v>142</v>
      </c>
      <c r="L15" s="96">
        <v>0</v>
      </c>
      <c r="M15" s="107">
        <v>0.08</v>
      </c>
      <c r="N15" s="108">
        <v>0.1</v>
      </c>
      <c r="O15" s="108">
        <v>0.5</v>
      </c>
      <c r="P15" s="96">
        <v>67</v>
      </c>
      <c r="Q15" s="109">
        <f t="shared" si="1"/>
        <v>121.17600000000002</v>
      </c>
      <c r="R15" s="109">
        <f t="shared" si="2"/>
        <v>49931.078256032408</v>
      </c>
    </row>
    <row r="16" spans="1:18">
      <c r="A16" s="106" t="s">
        <v>82</v>
      </c>
      <c r="B16" s="96">
        <v>615</v>
      </c>
      <c r="C16" s="96">
        <v>909</v>
      </c>
      <c r="D16" s="96">
        <v>1.1000000000000001</v>
      </c>
      <c r="E16" s="110">
        <v>0.1</v>
      </c>
      <c r="F16" s="110"/>
      <c r="G16" s="110">
        <v>0.98</v>
      </c>
      <c r="H16" s="96">
        <v>176</v>
      </c>
      <c r="I16" s="96" t="s">
        <v>171</v>
      </c>
      <c r="K16" s="106" t="s">
        <v>145</v>
      </c>
      <c r="L16" s="96">
        <v>0</v>
      </c>
      <c r="M16" s="107">
        <v>0.06</v>
      </c>
      <c r="N16" s="108">
        <v>0.1</v>
      </c>
      <c r="O16" s="108">
        <v>0.5</v>
      </c>
      <c r="P16" s="96">
        <v>155</v>
      </c>
      <c r="Q16" s="109">
        <f t="shared" si="1"/>
        <v>272.84399999999999</v>
      </c>
      <c r="R16" s="109">
        <f t="shared" si="2"/>
        <v>51113.723081274016</v>
      </c>
    </row>
    <row r="17" spans="1:18">
      <c r="A17" s="106" t="s">
        <v>158</v>
      </c>
      <c r="B17" s="96"/>
      <c r="C17" s="96"/>
      <c r="D17" s="96"/>
      <c r="E17" s="96"/>
      <c r="F17" s="110"/>
      <c r="G17" s="110">
        <v>0.7</v>
      </c>
      <c r="H17" s="96"/>
      <c r="I17" s="96" t="s">
        <v>171</v>
      </c>
      <c r="K17" s="106" t="s">
        <v>146</v>
      </c>
      <c r="L17" s="96">
        <v>0</v>
      </c>
      <c r="M17" s="107">
        <v>0.09</v>
      </c>
      <c r="N17" s="108">
        <v>0.1</v>
      </c>
      <c r="O17" s="108">
        <v>0.5</v>
      </c>
      <c r="P17" s="96">
        <v>112</v>
      </c>
      <c r="Q17" s="109">
        <f t="shared" si="1"/>
        <v>203.23050000000003</v>
      </c>
      <c r="R17" s="109">
        <f t="shared" si="2"/>
        <v>51219.153296186407</v>
      </c>
    </row>
    <row r="18" spans="1:18">
      <c r="A18" s="106" t="s">
        <v>159</v>
      </c>
      <c r="B18" s="96"/>
      <c r="C18" s="96"/>
      <c r="D18" s="96"/>
      <c r="E18" s="96"/>
      <c r="F18" s="110"/>
      <c r="G18" s="110">
        <v>0.8</v>
      </c>
      <c r="H18" s="96"/>
      <c r="I18" s="96" t="s">
        <v>171</v>
      </c>
      <c r="K18" s="106" t="s">
        <v>147</v>
      </c>
      <c r="L18" s="96">
        <v>30</v>
      </c>
      <c r="M18" s="107">
        <v>0.08</v>
      </c>
      <c r="N18" s="108">
        <v>0.08</v>
      </c>
      <c r="O18" s="108">
        <v>0</v>
      </c>
      <c r="P18" s="96">
        <v>200</v>
      </c>
      <c r="Q18" s="109">
        <f t="shared" si="1"/>
        <v>7267.8384000000015</v>
      </c>
      <c r="R18" s="109">
        <f t="shared" si="2"/>
        <v>45194.19974976001</v>
      </c>
    </row>
    <row r="19" spans="1:18">
      <c r="A19" s="106" t="s">
        <v>128</v>
      </c>
      <c r="B19" s="96"/>
      <c r="C19" s="96"/>
      <c r="D19" s="96"/>
      <c r="E19" s="96"/>
      <c r="F19" s="110"/>
      <c r="G19" s="110"/>
      <c r="H19" s="96">
        <v>93</v>
      </c>
      <c r="I19" s="96" t="s">
        <v>171</v>
      </c>
      <c r="K19" s="106" t="s">
        <v>147</v>
      </c>
      <c r="L19" s="96">
        <v>30</v>
      </c>
      <c r="M19" s="107">
        <v>0.08</v>
      </c>
      <c r="N19" s="108">
        <v>0</v>
      </c>
      <c r="O19" s="108">
        <v>0.4</v>
      </c>
      <c r="P19" s="96">
        <v>200</v>
      </c>
      <c r="Q19" s="109">
        <f t="shared" si="1"/>
        <v>9421.2720000000008</v>
      </c>
      <c r="R19" s="109">
        <f t="shared" si="2"/>
        <v>40001.674672128014</v>
      </c>
    </row>
    <row r="20" spans="1:18">
      <c r="A20" s="106" t="s">
        <v>157</v>
      </c>
      <c r="B20" s="96"/>
      <c r="C20" s="96"/>
      <c r="D20" s="96"/>
      <c r="E20" s="96"/>
      <c r="F20" s="110">
        <v>7.0000000000000007E-2</v>
      </c>
      <c r="G20" s="110"/>
      <c r="H20" s="96">
        <v>130</v>
      </c>
      <c r="I20" s="96" t="s">
        <v>171</v>
      </c>
      <c r="K20" s="106" t="s">
        <v>113</v>
      </c>
      <c r="L20" s="96">
        <v>34</v>
      </c>
      <c r="M20" s="107">
        <v>0</v>
      </c>
      <c r="N20" s="108">
        <v>0</v>
      </c>
      <c r="O20" s="108">
        <v>0.47</v>
      </c>
      <c r="P20" s="96">
        <v>80</v>
      </c>
      <c r="Q20" s="109">
        <f t="shared" si="1"/>
        <v>4167.45</v>
      </c>
      <c r="R20" s="109">
        <f t="shared" si="2"/>
        <v>36769.192403328008</v>
      </c>
    </row>
    <row r="21" spans="1:18">
      <c r="A21" s="106" t="s">
        <v>102</v>
      </c>
      <c r="B21" s="96"/>
      <c r="C21" s="96"/>
      <c r="D21" s="96"/>
      <c r="E21" s="110">
        <v>0.16</v>
      </c>
      <c r="F21" s="110">
        <v>0.1</v>
      </c>
      <c r="G21" s="110"/>
      <c r="H21" s="96">
        <v>174</v>
      </c>
      <c r="I21" s="96" t="s">
        <v>171</v>
      </c>
      <c r="K21" s="106" t="s">
        <v>148</v>
      </c>
      <c r="L21" s="96">
        <v>0</v>
      </c>
      <c r="M21" s="107">
        <v>0</v>
      </c>
      <c r="N21" s="108">
        <v>0</v>
      </c>
      <c r="O21" s="108">
        <v>0.46</v>
      </c>
      <c r="P21" s="96">
        <f>96+58</f>
        <v>154</v>
      </c>
      <c r="Q21" s="109">
        <f t="shared" ref="Q21" si="3">(1+L21)*(1+M21)*(1+N21)*(1+O21)*(1+P21)</f>
        <v>226.29999999999998</v>
      </c>
      <c r="R21" s="109">
        <f t="shared" si="2"/>
        <v>37019.744771609607</v>
      </c>
    </row>
    <row r="22" spans="1:18">
      <c r="A22" s="106" t="s">
        <v>130</v>
      </c>
      <c r="B22" s="96"/>
      <c r="C22" s="96"/>
      <c r="D22" s="96"/>
      <c r="E22" s="96"/>
      <c r="F22" s="110"/>
      <c r="G22" s="110"/>
      <c r="H22" s="96">
        <v>93</v>
      </c>
      <c r="I22" s="96" t="s">
        <v>171</v>
      </c>
      <c r="L22" s="111"/>
      <c r="N22" s="112"/>
      <c r="O22" s="93"/>
      <c r="Q22" s="94"/>
      <c r="R22" s="94"/>
    </row>
    <row r="23" spans="1:18">
      <c r="A23" s="106" t="s">
        <v>160</v>
      </c>
      <c r="B23" s="96"/>
      <c r="C23" s="96"/>
      <c r="D23" s="96"/>
      <c r="E23" s="96"/>
      <c r="F23" s="110"/>
      <c r="G23" s="110"/>
      <c r="H23" s="96">
        <v>34</v>
      </c>
      <c r="I23" s="96" t="s">
        <v>171</v>
      </c>
    </row>
    <row r="24" spans="1:18">
      <c r="A24" s="106" t="s">
        <v>161</v>
      </c>
      <c r="B24" s="96"/>
      <c r="C24" s="96"/>
      <c r="D24" s="96"/>
      <c r="E24" s="96"/>
      <c r="F24" s="110"/>
      <c r="G24" s="110"/>
      <c r="H24" s="96">
        <v>34</v>
      </c>
      <c r="I24" s="96" t="s">
        <v>171</v>
      </c>
    </row>
    <row r="25" spans="1:18">
      <c r="A25" s="106" t="s">
        <v>113</v>
      </c>
      <c r="B25" s="96">
        <v>34</v>
      </c>
      <c r="C25" s="96"/>
      <c r="D25" s="96"/>
      <c r="E25" s="110"/>
      <c r="F25" s="110"/>
      <c r="G25" s="110">
        <v>0.47</v>
      </c>
      <c r="H25" s="96">
        <v>80</v>
      </c>
      <c r="I25" s="96" t="s">
        <v>171</v>
      </c>
    </row>
    <row r="26" spans="1:18">
      <c r="A26" s="106" t="s">
        <v>162</v>
      </c>
      <c r="B26" s="96">
        <v>32</v>
      </c>
      <c r="C26" s="96">
        <v>84</v>
      </c>
      <c r="D26" s="96"/>
      <c r="E26" s="96"/>
      <c r="F26" s="110"/>
      <c r="G26" s="110">
        <v>0.31</v>
      </c>
      <c r="H26" s="96"/>
      <c r="I26" s="96" t="s">
        <v>171</v>
      </c>
    </row>
    <row r="27" spans="1:18">
      <c r="A27" s="106" t="s">
        <v>163</v>
      </c>
      <c r="B27" s="96"/>
      <c r="C27" s="96"/>
      <c r="D27" s="96"/>
      <c r="E27" s="96"/>
      <c r="F27" s="110"/>
      <c r="G27" s="110"/>
      <c r="H27" s="96">
        <v>172</v>
      </c>
      <c r="I27" s="96" t="s">
        <v>171</v>
      </c>
    </row>
    <row r="28" spans="1:18">
      <c r="A28" s="106" t="s">
        <v>164</v>
      </c>
      <c r="B28" s="96"/>
      <c r="C28" s="96"/>
      <c r="D28" s="96"/>
      <c r="E28" s="110">
        <v>0.08</v>
      </c>
      <c r="F28" s="110"/>
      <c r="G28" s="110"/>
      <c r="H28" s="96">
        <v>128</v>
      </c>
      <c r="I28" s="96" t="s">
        <v>171</v>
      </c>
    </row>
    <row r="29" spans="1:18">
      <c r="A29" s="106" t="s">
        <v>137</v>
      </c>
      <c r="B29" s="96"/>
      <c r="C29" s="96"/>
      <c r="D29" s="96"/>
      <c r="E29" s="96"/>
      <c r="F29" s="110">
        <v>0.1</v>
      </c>
      <c r="G29" s="110"/>
      <c r="H29" s="96">
        <v>225</v>
      </c>
      <c r="I29" s="96" t="s">
        <v>171</v>
      </c>
    </row>
    <row r="30" spans="1:18">
      <c r="A30" s="106" t="s">
        <v>165</v>
      </c>
      <c r="B30" s="96"/>
      <c r="C30" s="96"/>
      <c r="D30" s="96"/>
      <c r="E30" s="96"/>
      <c r="F30" s="110"/>
      <c r="G30" s="110"/>
      <c r="H30" s="96">
        <v>91</v>
      </c>
      <c r="I30" s="96" t="s">
        <v>171</v>
      </c>
    </row>
    <row r="31" spans="1:18">
      <c r="A31" s="106" t="s">
        <v>166</v>
      </c>
      <c r="B31" s="96"/>
      <c r="C31" s="96"/>
      <c r="D31" s="96"/>
      <c r="E31" s="96"/>
      <c r="F31" s="110"/>
      <c r="G31" s="110"/>
      <c r="H31" s="96">
        <v>34</v>
      </c>
      <c r="I31" s="96" t="s">
        <v>171</v>
      </c>
    </row>
    <row r="32" spans="1:18">
      <c r="A32" s="106" t="s">
        <v>167</v>
      </c>
      <c r="B32" s="96"/>
      <c r="C32" s="96"/>
      <c r="D32" s="96"/>
      <c r="E32" s="96"/>
      <c r="F32" s="110"/>
      <c r="G32" s="110"/>
      <c r="H32" s="96">
        <v>34</v>
      </c>
      <c r="I32" s="96" t="s">
        <v>171</v>
      </c>
    </row>
    <row r="33" spans="1:9">
      <c r="A33" s="106" t="s">
        <v>168</v>
      </c>
      <c r="B33" s="96"/>
      <c r="C33" s="96"/>
      <c r="D33" s="96"/>
      <c r="E33" s="96"/>
      <c r="F33" s="110"/>
      <c r="G33" s="110"/>
      <c r="H33" s="96">
        <v>34</v>
      </c>
      <c r="I33" s="96" t="s">
        <v>171</v>
      </c>
    </row>
    <row r="34" spans="1:9">
      <c r="A34" s="106" t="s">
        <v>132</v>
      </c>
      <c r="B34" s="96"/>
      <c r="C34" s="96"/>
      <c r="D34" s="96"/>
      <c r="E34" s="96"/>
      <c r="F34" s="110"/>
      <c r="G34" s="110"/>
      <c r="H34" s="96">
        <v>233</v>
      </c>
      <c r="I34" s="96" t="s">
        <v>171</v>
      </c>
    </row>
    <row r="35" spans="1:9">
      <c r="A35" s="106" t="s">
        <v>169</v>
      </c>
      <c r="B35" s="96"/>
      <c r="C35" s="96"/>
      <c r="D35" s="96"/>
      <c r="E35" s="96"/>
      <c r="F35" s="110"/>
      <c r="G35" s="110"/>
      <c r="H35" s="96">
        <v>91</v>
      </c>
      <c r="I35" s="96" t="s">
        <v>171</v>
      </c>
    </row>
    <row r="36" spans="1:9">
      <c r="A36" s="106" t="s">
        <v>133</v>
      </c>
      <c r="B36" s="96"/>
      <c r="C36" s="96"/>
      <c r="D36" s="96"/>
      <c r="E36" s="96"/>
      <c r="F36" s="110"/>
      <c r="G36" s="110"/>
      <c r="H36" s="96">
        <v>181</v>
      </c>
      <c r="I36" s="96" t="s">
        <v>171</v>
      </c>
    </row>
    <row r="37" spans="1:9">
      <c r="A37" s="106" t="s">
        <v>175</v>
      </c>
      <c r="B37" s="96"/>
      <c r="C37" s="96"/>
      <c r="D37" s="96"/>
      <c r="E37" s="110">
        <v>0.03</v>
      </c>
      <c r="F37" s="110"/>
      <c r="G37" s="110"/>
      <c r="H37" s="96"/>
      <c r="I37" s="96" t="s">
        <v>171</v>
      </c>
    </row>
    <row r="38" spans="1:9">
      <c r="A38" s="106"/>
      <c r="B38" s="96"/>
      <c r="C38" s="96"/>
      <c r="D38" s="96"/>
      <c r="E38" s="110"/>
      <c r="F38" s="110"/>
      <c r="G38" s="110"/>
      <c r="H38" s="96"/>
      <c r="I38" s="96" t="s">
        <v>172</v>
      </c>
    </row>
    <row r="39" spans="1:9">
      <c r="A39" s="106"/>
      <c r="B39" s="96"/>
      <c r="C39" s="96"/>
      <c r="D39" s="96"/>
      <c r="E39" s="110"/>
      <c r="F39" s="110"/>
      <c r="G39" s="110"/>
      <c r="H39" s="96"/>
      <c r="I39" s="96"/>
    </row>
    <row r="40" spans="1:9">
      <c r="A40" s="106"/>
      <c r="B40" s="96"/>
      <c r="C40" s="96"/>
      <c r="D40" s="96"/>
      <c r="E40" s="110"/>
      <c r="F40" s="110"/>
      <c r="G40" s="110"/>
      <c r="H40" s="96"/>
      <c r="I40" s="96"/>
    </row>
    <row r="42" spans="1:9">
      <c r="A42" s="171" t="s">
        <v>116</v>
      </c>
      <c r="B42" s="171"/>
      <c r="C42" s="113">
        <f>C43*C48*C53*C56</f>
        <v>56592.541062288015</v>
      </c>
      <c r="E42" s="114" t="s">
        <v>123</v>
      </c>
    </row>
    <row r="43" spans="1:9">
      <c r="A43" s="162" t="s">
        <v>115</v>
      </c>
      <c r="B43" s="162"/>
      <c r="C43" s="92">
        <f>SUM(B45:C47)/2</f>
        <v>779</v>
      </c>
      <c r="E43" s="115" t="s">
        <v>78</v>
      </c>
    </row>
    <row r="44" spans="1:9">
      <c r="A44" s="98" t="s">
        <v>79</v>
      </c>
      <c r="B44" s="98" t="s">
        <v>80</v>
      </c>
      <c r="C44" s="98" t="s">
        <v>81</v>
      </c>
    </row>
    <row r="45" spans="1:9">
      <c r="A45" s="116" t="s">
        <v>82</v>
      </c>
      <c r="B45" s="96">
        <v>615</v>
      </c>
      <c r="C45" s="96">
        <v>909</v>
      </c>
      <c r="E45" s="72" t="s">
        <v>83</v>
      </c>
    </row>
    <row r="46" spans="1:9">
      <c r="A46" s="116" t="s">
        <v>103</v>
      </c>
      <c r="B46" s="96">
        <v>0</v>
      </c>
      <c r="C46" s="96">
        <v>0</v>
      </c>
      <c r="E46" s="72" t="s">
        <v>84</v>
      </c>
    </row>
    <row r="47" spans="1:9">
      <c r="A47" s="116" t="s">
        <v>113</v>
      </c>
      <c r="B47" s="96">
        <v>34</v>
      </c>
      <c r="C47" s="96">
        <v>0</v>
      </c>
      <c r="E47" s="72" t="s">
        <v>85</v>
      </c>
    </row>
    <row r="48" spans="1:9">
      <c r="A48" s="162" t="s">
        <v>104</v>
      </c>
      <c r="B48" s="162"/>
      <c r="C48" s="92">
        <f>B50*(1+C50)*(1+SUM(C51:C52))</f>
        <v>1.4399000000000002</v>
      </c>
      <c r="E48" s="72" t="s">
        <v>86</v>
      </c>
    </row>
    <row r="49" spans="1:5">
      <c r="A49" s="98" t="s">
        <v>79</v>
      </c>
      <c r="B49" s="98" t="s">
        <v>151</v>
      </c>
      <c r="C49" s="98" t="s">
        <v>149</v>
      </c>
      <c r="E49" s="72" t="s">
        <v>87</v>
      </c>
    </row>
    <row r="50" spans="1:5">
      <c r="A50" s="116" t="s">
        <v>82</v>
      </c>
      <c r="B50" s="96">
        <v>1.1000000000000001</v>
      </c>
      <c r="C50" s="117">
        <v>0.1</v>
      </c>
      <c r="E50" s="72" t="s">
        <v>88</v>
      </c>
    </row>
    <row r="51" spans="1:5">
      <c r="A51" s="116" t="s">
        <v>102</v>
      </c>
      <c r="B51" s="96" t="s">
        <v>103</v>
      </c>
      <c r="C51" s="117">
        <f>16%</f>
        <v>0.16</v>
      </c>
      <c r="E51" s="72" t="s">
        <v>89</v>
      </c>
    </row>
    <row r="52" spans="1:5">
      <c r="A52" s="116" t="s">
        <v>175</v>
      </c>
      <c r="B52" s="96" t="s">
        <v>103</v>
      </c>
      <c r="C52" s="117">
        <v>0.03</v>
      </c>
      <c r="E52" s="72" t="s">
        <v>90</v>
      </c>
    </row>
    <row r="53" spans="1:5">
      <c r="A53" s="162" t="s">
        <v>114</v>
      </c>
      <c r="B53" s="162"/>
      <c r="C53" s="118">
        <f>1+B55*A55</f>
        <v>2.2031999999999998</v>
      </c>
      <c r="E53" s="72" t="s">
        <v>91</v>
      </c>
    </row>
    <row r="54" spans="1:5">
      <c r="A54" s="98" t="s">
        <v>111</v>
      </c>
      <c r="B54" s="98" t="s">
        <v>112</v>
      </c>
      <c r="C54" s="98"/>
      <c r="E54" s="72" t="s">
        <v>92</v>
      </c>
    </row>
    <row r="55" spans="1:5">
      <c r="A55" s="119">
        <v>0.32</v>
      </c>
      <c r="B55" s="110">
        <v>3.76</v>
      </c>
      <c r="C55" s="96"/>
      <c r="E55" s="72" t="s">
        <v>93</v>
      </c>
    </row>
    <row r="56" spans="1:5">
      <c r="A56" s="162" t="s">
        <v>105</v>
      </c>
      <c r="B56" s="162"/>
      <c r="C56" s="118">
        <f>B58*0.01+1</f>
        <v>22.900000000000002</v>
      </c>
      <c r="E56" s="72" t="s">
        <v>94</v>
      </c>
    </row>
    <row r="57" spans="1:5">
      <c r="A57" s="98" t="s">
        <v>77</v>
      </c>
      <c r="B57" s="98" t="s">
        <v>110</v>
      </c>
      <c r="C57" s="98"/>
      <c r="E57" s="72" t="s">
        <v>95</v>
      </c>
    </row>
    <row r="58" spans="1:5">
      <c r="A58" s="96" t="str">
        <f>C1</f>
        <v>Dexterity</v>
      </c>
      <c r="B58" s="96">
        <f>C3</f>
        <v>2190</v>
      </c>
      <c r="C58" s="96"/>
      <c r="E58" s="72" t="s">
        <v>96</v>
      </c>
    </row>
    <row r="59" spans="1:5">
      <c r="E59" s="72" t="s">
        <v>97</v>
      </c>
    </row>
    <row r="60" spans="1:5">
      <c r="A60" s="171" t="s">
        <v>122</v>
      </c>
      <c r="B60" s="171"/>
      <c r="C60" s="120">
        <f>1-((1-C61)*(1-C64))</f>
        <v>0.85875453493479725</v>
      </c>
      <c r="E60" s="72" t="s">
        <v>98</v>
      </c>
    </row>
    <row r="61" spans="1:5">
      <c r="A61" s="162" t="s">
        <v>117</v>
      </c>
      <c r="B61" s="162"/>
      <c r="C61" s="118">
        <f>A63/(A63+B63*C62)</f>
        <v>0.65827543000341726</v>
      </c>
      <c r="E61" s="72" t="s">
        <v>99</v>
      </c>
    </row>
    <row r="62" spans="1:5">
      <c r="A62" s="98" t="s">
        <v>118</v>
      </c>
      <c r="B62" s="98" t="s">
        <v>119</v>
      </c>
      <c r="C62" s="98">
        <v>50</v>
      </c>
      <c r="E62" s="72" t="s">
        <v>100</v>
      </c>
    </row>
    <row r="63" spans="1:5">
      <c r="A63" s="96">
        <v>5779</v>
      </c>
      <c r="B63" s="96">
        <v>60</v>
      </c>
      <c r="C63" s="96"/>
      <c r="E63" s="72" t="s">
        <v>101</v>
      </c>
    </row>
    <row r="64" spans="1:5">
      <c r="A64" s="162" t="s">
        <v>120</v>
      </c>
      <c r="B64" s="162"/>
      <c r="C64" s="118">
        <f>A66/(A66+B66*C65)</f>
        <v>0.58666868739752831</v>
      </c>
    </row>
    <row r="65" spans="1:11">
      <c r="A65" s="98" t="s">
        <v>121</v>
      </c>
      <c r="B65" s="98" t="s">
        <v>119</v>
      </c>
      <c r="C65" s="98">
        <v>5</v>
      </c>
      <c r="E65" s="93">
        <f>100*(1-C60)</f>
        <v>14.124546506520275</v>
      </c>
    </row>
    <row r="66" spans="1:11">
      <c r="A66" s="96">
        <f>(D3*0.1+SUM(C69:C73))*(1+C68)</f>
        <v>425.81000000000006</v>
      </c>
      <c r="B66" s="96">
        <f>B63</f>
        <v>60</v>
      </c>
      <c r="C66" s="96"/>
      <c r="E66" s="93">
        <f>100*C61*C64</f>
        <v>38.618958246614831</v>
      </c>
    </row>
    <row r="67" spans="1:11">
      <c r="A67" s="168" t="s">
        <v>127</v>
      </c>
      <c r="B67" s="169"/>
      <c r="C67" s="170"/>
    </row>
    <row r="68" spans="1:11">
      <c r="A68" s="116" t="s">
        <v>126</v>
      </c>
      <c r="B68" s="121" t="s">
        <v>150</v>
      </c>
      <c r="C68" s="119">
        <f>10%</f>
        <v>0.1</v>
      </c>
      <c r="E68" s="112" t="s">
        <v>182</v>
      </c>
    </row>
    <row r="69" spans="1:11">
      <c r="A69" s="116" t="s">
        <v>128</v>
      </c>
      <c r="B69" s="96" t="s">
        <v>129</v>
      </c>
      <c r="C69" s="96">
        <v>77</v>
      </c>
      <c r="E69" s="112" t="s">
        <v>183</v>
      </c>
    </row>
    <row r="70" spans="1:11">
      <c r="A70" s="116" t="s">
        <v>130</v>
      </c>
      <c r="B70" s="96" t="s">
        <v>129</v>
      </c>
      <c r="C70" s="96">
        <v>78</v>
      </c>
    </row>
    <row r="71" spans="1:11">
      <c r="A71" s="116" t="s">
        <v>131</v>
      </c>
      <c r="B71" s="96" t="s">
        <v>129</v>
      </c>
      <c r="C71" s="96">
        <v>30</v>
      </c>
      <c r="I71" s="111"/>
      <c r="K71" s="112"/>
    </row>
    <row r="72" spans="1:11">
      <c r="A72" s="116" t="s">
        <v>132</v>
      </c>
      <c r="B72" s="96" t="s">
        <v>129</v>
      </c>
      <c r="C72" s="96">
        <v>66</v>
      </c>
    </row>
    <row r="73" spans="1:11">
      <c r="A73" s="116" t="s">
        <v>133</v>
      </c>
      <c r="B73" s="96" t="s">
        <v>129</v>
      </c>
      <c r="C73" s="96">
        <v>72</v>
      </c>
    </row>
  </sheetData>
  <mergeCells count="23">
    <mergeCell ref="A67:C67"/>
    <mergeCell ref="A42:B42"/>
    <mergeCell ref="A61:B61"/>
    <mergeCell ref="A64:B64"/>
    <mergeCell ref="A60:B60"/>
    <mergeCell ref="A48:B48"/>
    <mergeCell ref="A43:B43"/>
    <mergeCell ref="A53:B53"/>
    <mergeCell ref="A56:B56"/>
    <mergeCell ref="A5:I5"/>
    <mergeCell ref="B6:C6"/>
    <mergeCell ref="D6:E6"/>
    <mergeCell ref="F6:G6"/>
    <mergeCell ref="B10:C10"/>
    <mergeCell ref="D10:E10"/>
    <mergeCell ref="F10:G10"/>
    <mergeCell ref="A9:I9"/>
    <mergeCell ref="I10:I12"/>
    <mergeCell ref="B7:C7"/>
    <mergeCell ref="D7:E7"/>
    <mergeCell ref="F7:G7"/>
    <mergeCell ref="H6:I6"/>
    <mergeCell ref="H7:I7"/>
  </mergeCells>
  <conditionalFormatting sqref="B13:H40">
    <cfRule type="cellIs" dxfId="2" priority="3" operator="equal">
      <formula>0</formula>
    </cfRule>
  </conditionalFormatting>
  <conditionalFormatting sqref="I13:I40">
    <cfRule type="cellIs" dxfId="1" priority="1" operator="equal">
      <formula>"n"</formula>
    </cfRule>
    <cfRule type="cellIs" dxfId="0" priority="2" operator="equal">
      <formula>"y"</formula>
    </cfRule>
  </conditionalFormatting>
  <hyperlinks>
    <hyperlink ref="E42" r:id="rId1"/>
  </hyperlinks>
  <pageMargins left="0.7" right="0.7" top="0.75" bottom="0.75" header="0.3" footer="0.3"/>
  <pageSetup orientation="portrait" horizontalDpi="0" verticalDpi="0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Amethyst</vt:lpstr>
      <vt:lpstr>Emerald</vt:lpstr>
      <vt:lpstr>Topaz</vt:lpstr>
      <vt:lpstr>Ruby</vt:lpstr>
      <vt:lpstr>Gem Transactions</vt:lpstr>
      <vt:lpstr>Ability Calculator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Tony Stark</dc:creator>
  <cp:lastModifiedBy>Tony Stark</cp:lastModifiedBy>
  <cp:lastPrinted>2012-11-18T09:14:12Z</cp:lastPrinted>
  <dcterms:created xsi:type="dcterms:W3CDTF">2012-11-01T04:37:40Z</dcterms:created>
  <dcterms:modified xsi:type="dcterms:W3CDTF">2013-01-28T06:55:52Z</dcterms:modified>
</cp:coreProperties>
</file>